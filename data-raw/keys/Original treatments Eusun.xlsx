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757887\PC_documents\_git-it\optics\data-raw\keys\"/>
    </mc:Choice>
  </mc:AlternateContent>
  <xr:revisionPtr revIDLastSave="0" documentId="8_{17F2303F-8E46-49A0-8339-8EDD08AC2812}" xr6:coauthVersionLast="47" xr6:coauthVersionMax="47" xr10:uidLastSave="{00000000-0000-0000-0000-000000000000}"/>
  <bookViews>
    <workbookView xWindow="-108" yWindow="-108" windowWidth="23256" windowHeight="12456" xr2:uid="{EC33E244-8F56-9547-9D09-99026377B95E}"/>
  </bookViews>
  <sheets>
    <sheet name="Design" sheetId="1" r:id="rId1"/>
    <sheet name="All crop seeding rate" sheetId="3" r:id="rId2"/>
    <sheet name="Perennial Rye seeding rate" sheetId="2" r:id="rId3"/>
  </sheets>
  <definedNames>
    <definedName name="_xlnm.Print_Area" localSheetId="0">Design!$A$1:$M$19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25" i="1"/>
  <c r="K20" i="1"/>
  <c r="C25" i="2"/>
  <c r="C26" i="2"/>
  <c r="C24" i="2"/>
  <c r="C20" i="2"/>
  <c r="C21" i="2"/>
  <c r="C19" i="2"/>
  <c r="C16" i="2"/>
  <c r="C17" i="2"/>
  <c r="C15" i="2"/>
  <c r="C13" i="2"/>
  <c r="C12" i="2"/>
  <c r="K21" i="1"/>
  <c r="K22" i="1"/>
</calcChain>
</file>

<file path=xl/sharedStrings.xml><?xml version="1.0" encoding="utf-8"?>
<sst xmlns="http://schemas.openxmlformats.org/spreadsheetml/2006/main" count="196" uniqueCount="83">
  <si>
    <t>s_no</t>
  </si>
  <si>
    <t>Treatment name</t>
  </si>
  <si>
    <t>Crop23-24</t>
  </si>
  <si>
    <t>Crop24-25</t>
  </si>
  <si>
    <t>Crop25-26</t>
  </si>
  <si>
    <t>Crop26-27</t>
  </si>
  <si>
    <t>N treatment</t>
  </si>
  <si>
    <t>Cutting treatment</t>
  </si>
  <si>
    <t>Rainout gutter</t>
  </si>
  <si>
    <t>Suction cup</t>
  </si>
  <si>
    <t>Rep</t>
  </si>
  <si>
    <t>Taza</t>
  </si>
  <si>
    <t>Christian Dold</t>
  </si>
  <si>
    <t>N-level</t>
  </si>
  <si>
    <t>Baseline1</t>
  </si>
  <si>
    <t>Winter wheat</t>
  </si>
  <si>
    <t>Winter canola</t>
  </si>
  <si>
    <t>High</t>
  </si>
  <si>
    <t>Dry</t>
  </si>
  <si>
    <t>Potential</t>
  </si>
  <si>
    <t>Baseline2</t>
  </si>
  <si>
    <t>Diverseline</t>
  </si>
  <si>
    <t>Fababean</t>
  </si>
  <si>
    <t>Chickpea</t>
  </si>
  <si>
    <t>KernzaNhighUg</t>
  </si>
  <si>
    <t>Intermediate wheatgrass</t>
  </si>
  <si>
    <t>Un-grazed</t>
  </si>
  <si>
    <t>Biochar</t>
  </si>
  <si>
    <t>KernzaNlowUg</t>
  </si>
  <si>
    <t>Low</t>
  </si>
  <si>
    <t>KernzaNhighGr1t</t>
  </si>
  <si>
    <t>Grazed1time</t>
  </si>
  <si>
    <t>KernzaNlowGr1t</t>
  </si>
  <si>
    <t>KernzaNhighGr2t</t>
  </si>
  <si>
    <t>Grazed2times</t>
  </si>
  <si>
    <t>KernzaNlowGr2t</t>
  </si>
  <si>
    <t>KernzaNhighUgDry</t>
  </si>
  <si>
    <t>KernzaNhighGr1tDry</t>
  </si>
  <si>
    <t>KernzaIntercrop</t>
  </si>
  <si>
    <t>Intermediate wheatgrass-alfalfa</t>
  </si>
  <si>
    <t>Sainfoin</t>
  </si>
  <si>
    <t>SainfoinGr</t>
  </si>
  <si>
    <t>Silphium</t>
  </si>
  <si>
    <t>SilphiumGr</t>
  </si>
  <si>
    <t>Rye</t>
  </si>
  <si>
    <t>Perennial rye</t>
  </si>
  <si>
    <t>RyeGr</t>
  </si>
  <si>
    <t>plot number</t>
  </si>
  <si>
    <t>plot size</t>
  </si>
  <si>
    <t>m2</t>
  </si>
  <si>
    <t>Minimum area</t>
  </si>
  <si>
    <t xml:space="preserve">m2 </t>
  </si>
  <si>
    <t>Source</t>
  </si>
  <si>
    <t>Crop</t>
  </si>
  <si>
    <t>Seeding rate</t>
  </si>
  <si>
    <t>Row spacing</t>
  </si>
  <si>
    <t>Target plant density</t>
  </si>
  <si>
    <t>sowing depth</t>
  </si>
  <si>
    <t>Kernza</t>
  </si>
  <si>
    <t>20-25 kg/ha</t>
  </si>
  <si>
    <t>48 cm</t>
  </si>
  <si>
    <t>196/m2</t>
  </si>
  <si>
    <t>1-1.5 cm</t>
  </si>
  <si>
    <t>72 kg/ha</t>
  </si>
  <si>
    <t>24 cm</t>
  </si>
  <si>
    <t>300/m2 and 100/m2</t>
  </si>
  <si>
    <t>35 kg/ha</t>
  </si>
  <si>
    <t>175-250/m2</t>
  </si>
  <si>
    <t>2 cm</t>
  </si>
  <si>
    <t>Transplanting?</t>
  </si>
  <si>
    <t>https://www.outsidepride.com/seed/flower-seed/silphium/silphium-cup-plant.html</t>
  </si>
  <si>
    <t>Silphium (should be transplanted?)</t>
  </si>
  <si>
    <t>1.25 kg/ha</t>
  </si>
  <si>
    <t>4/m2</t>
  </si>
  <si>
    <t>0.64 cm</t>
  </si>
  <si>
    <t>TKW</t>
  </si>
  <si>
    <t>g</t>
  </si>
  <si>
    <t>Target rate</t>
  </si>
  <si>
    <t>plants/m2</t>
  </si>
  <si>
    <t>g/m2</t>
  </si>
  <si>
    <t>kg/ha</t>
  </si>
  <si>
    <t>kg/60 m</t>
  </si>
  <si>
    <t>kg for 8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</si>
</sst>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16" fontId="0" fillId="0" borderId="0" xfId="0" applyNumberFormat="1"/>
    <xf numFmtId="2" fontId="0" fillId="0" borderId="0" xfId="0" applyNumberFormat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0097-3A5B-6244-9684-86CC4422175F}">
  <sheetPr>
    <pageSetUpPr fitToPage="1"/>
  </sheetPr>
  <dimension ref="A1:N26"/>
  <sheetViews>
    <sheetView tabSelected="1" zoomScale="80" zoomScaleNormal="80" workbookViewId="0">
      <selection activeCell="F25" sqref="F25"/>
    </sheetView>
  </sheetViews>
  <sheetFormatPr defaultColWidth="11" defaultRowHeight="15.6" x14ac:dyDescent="0.3"/>
  <cols>
    <col min="2" max="2" width="22.69921875" customWidth="1"/>
    <col min="3" max="3" width="27.796875" style="6" customWidth="1"/>
    <col min="4" max="5" width="27.796875" customWidth="1"/>
    <col min="6" max="6" width="30.296875" customWidth="1"/>
    <col min="7" max="7" width="10.69921875" customWidth="1"/>
    <col min="8" max="8" width="16.19921875" customWidth="1"/>
    <col min="9" max="10" width="14.69921875" customWidth="1"/>
    <col min="11" max="11" width="9.19921875" customWidth="1"/>
    <col min="13" max="13" width="17" customWidth="1"/>
  </cols>
  <sheetData>
    <row r="1" spans="1:14" x14ac:dyDescent="0.3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spans="1:14" s="7" customFormat="1" x14ac:dyDescent="0.3">
      <c r="A2" s="8">
        <v>1</v>
      </c>
      <c r="B2" s="8" t="s">
        <v>14</v>
      </c>
      <c r="C2" s="8" t="s">
        <v>15</v>
      </c>
      <c r="D2" s="8" t="s">
        <v>16</v>
      </c>
      <c r="E2" s="8" t="s">
        <v>15</v>
      </c>
      <c r="F2" s="8" t="s">
        <v>16</v>
      </c>
      <c r="G2" s="8" t="s">
        <v>17</v>
      </c>
      <c r="H2" s="8"/>
      <c r="I2" s="8" t="s">
        <v>18</v>
      </c>
      <c r="J2" s="8" t="s">
        <v>9</v>
      </c>
      <c r="K2" s="8">
        <v>4</v>
      </c>
      <c r="L2" s="8"/>
      <c r="M2" s="7" t="s">
        <v>19</v>
      </c>
    </row>
    <row r="3" spans="1:14" x14ac:dyDescent="0.3">
      <c r="A3">
        <v>2</v>
      </c>
      <c r="B3" t="s">
        <v>20</v>
      </c>
      <c r="C3" s="6" t="s">
        <v>16</v>
      </c>
      <c r="D3" t="s">
        <v>15</v>
      </c>
      <c r="E3" t="s">
        <v>16</v>
      </c>
      <c r="F3" t="s">
        <v>15</v>
      </c>
      <c r="G3" s="1" t="s">
        <v>17</v>
      </c>
      <c r="I3" s="1"/>
      <c r="J3" s="1" t="s">
        <v>9</v>
      </c>
      <c r="K3">
        <v>4</v>
      </c>
    </row>
    <row r="4" spans="1:14" x14ac:dyDescent="0.3">
      <c r="A4" s="1">
        <v>3</v>
      </c>
      <c r="B4" s="1" t="s">
        <v>21</v>
      </c>
      <c r="C4" s="5" t="s">
        <v>22</v>
      </c>
      <c r="D4" s="1" t="s">
        <v>15</v>
      </c>
      <c r="E4" s="1" t="s">
        <v>23</v>
      </c>
      <c r="F4" s="1" t="s">
        <v>16</v>
      </c>
      <c r="G4" s="1" t="s">
        <v>17</v>
      </c>
      <c r="H4" s="1"/>
      <c r="I4" s="1"/>
      <c r="J4" s="1"/>
      <c r="K4" s="1">
        <v>4</v>
      </c>
      <c r="L4" s="1"/>
    </row>
    <row r="5" spans="1:14" s="7" customFormat="1" x14ac:dyDescent="0.3">
      <c r="A5" s="7">
        <v>4</v>
      </c>
      <c r="B5" s="8" t="s">
        <v>24</v>
      </c>
      <c r="C5" s="8" t="s">
        <v>25</v>
      </c>
      <c r="D5" s="8" t="s">
        <v>25</v>
      </c>
      <c r="E5" s="8" t="s">
        <v>25</v>
      </c>
      <c r="F5" s="8" t="s">
        <v>25</v>
      </c>
      <c r="G5" s="8" t="s">
        <v>17</v>
      </c>
      <c r="H5" s="8" t="s">
        <v>26</v>
      </c>
      <c r="I5" s="8"/>
      <c r="J5" s="8" t="s">
        <v>9</v>
      </c>
      <c r="K5" s="8">
        <v>4</v>
      </c>
      <c r="L5" s="8" t="s">
        <v>27</v>
      </c>
      <c r="M5" s="7" t="s">
        <v>19</v>
      </c>
    </row>
    <row r="6" spans="1:14" s="7" customFormat="1" x14ac:dyDescent="0.3">
      <c r="A6" s="8">
        <v>5</v>
      </c>
      <c r="B6" s="8" t="s">
        <v>28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29</v>
      </c>
      <c r="H6" s="8" t="s">
        <v>26</v>
      </c>
      <c r="I6" s="8"/>
      <c r="J6" s="8"/>
      <c r="K6" s="8">
        <v>4</v>
      </c>
      <c r="L6" s="8"/>
      <c r="M6" s="7" t="s">
        <v>19</v>
      </c>
    </row>
    <row r="7" spans="1:14" s="7" customFormat="1" x14ac:dyDescent="0.3">
      <c r="A7" s="7">
        <v>6</v>
      </c>
      <c r="B7" s="8" t="s">
        <v>30</v>
      </c>
      <c r="C7" s="8" t="s">
        <v>25</v>
      </c>
      <c r="D7" s="8" t="s">
        <v>25</v>
      </c>
      <c r="E7" s="8" t="s">
        <v>25</v>
      </c>
      <c r="F7" s="8" t="s">
        <v>25</v>
      </c>
      <c r="G7" s="8" t="s">
        <v>17</v>
      </c>
      <c r="H7" s="8" t="s">
        <v>31</v>
      </c>
      <c r="I7" s="8"/>
      <c r="J7" s="8" t="s">
        <v>9</v>
      </c>
      <c r="K7" s="8">
        <v>4</v>
      </c>
      <c r="L7" s="8"/>
      <c r="M7" s="7" t="s">
        <v>19</v>
      </c>
    </row>
    <row r="8" spans="1:14" x14ac:dyDescent="0.3">
      <c r="A8" s="1">
        <v>7</v>
      </c>
      <c r="B8" s="1" t="s">
        <v>32</v>
      </c>
      <c r="C8" s="5" t="s">
        <v>25</v>
      </c>
      <c r="D8" s="1" t="s">
        <v>25</v>
      </c>
      <c r="E8" s="1" t="s">
        <v>25</v>
      </c>
      <c r="F8" s="1" t="s">
        <v>25</v>
      </c>
      <c r="G8" s="1" t="s">
        <v>29</v>
      </c>
      <c r="H8" s="1" t="s">
        <v>31</v>
      </c>
      <c r="I8" s="1"/>
      <c r="J8" s="1"/>
      <c r="K8" s="1">
        <v>4</v>
      </c>
      <c r="L8" s="1"/>
    </row>
    <row r="9" spans="1:14" x14ac:dyDescent="0.3">
      <c r="A9">
        <v>8</v>
      </c>
      <c r="B9" s="1" t="s">
        <v>33</v>
      </c>
      <c r="C9" s="5" t="s">
        <v>25</v>
      </c>
      <c r="D9" s="1" t="s">
        <v>25</v>
      </c>
      <c r="E9" s="1" t="s">
        <v>25</v>
      </c>
      <c r="F9" s="1" t="s">
        <v>25</v>
      </c>
      <c r="G9" s="1" t="s">
        <v>17</v>
      </c>
      <c r="H9" s="1" t="s">
        <v>34</v>
      </c>
      <c r="I9" s="1"/>
      <c r="J9" s="1" t="s">
        <v>9</v>
      </c>
      <c r="K9" s="1">
        <v>4</v>
      </c>
      <c r="L9" s="1"/>
    </row>
    <row r="10" spans="1:14" x14ac:dyDescent="0.3">
      <c r="A10" s="1">
        <v>9</v>
      </c>
      <c r="B10" s="1" t="s">
        <v>35</v>
      </c>
      <c r="C10" s="5" t="s">
        <v>25</v>
      </c>
      <c r="D10" s="1" t="s">
        <v>25</v>
      </c>
      <c r="E10" s="1" t="s">
        <v>25</v>
      </c>
      <c r="F10" s="1" t="s">
        <v>25</v>
      </c>
      <c r="G10" s="1" t="s">
        <v>29</v>
      </c>
      <c r="H10" s="1" t="s">
        <v>34</v>
      </c>
      <c r="I10" s="1"/>
      <c r="J10" s="1"/>
      <c r="K10" s="1">
        <v>4</v>
      </c>
      <c r="L10" s="1"/>
    </row>
    <row r="11" spans="1:14" s="7" customFormat="1" x14ac:dyDescent="0.3">
      <c r="A11" s="7">
        <v>10</v>
      </c>
      <c r="B11" s="8" t="s">
        <v>36</v>
      </c>
      <c r="C11" s="8" t="s">
        <v>25</v>
      </c>
      <c r="D11" s="8" t="s">
        <v>25</v>
      </c>
      <c r="E11" s="8" t="s">
        <v>25</v>
      </c>
      <c r="F11" s="8" t="s">
        <v>25</v>
      </c>
      <c r="G11" s="8" t="s">
        <v>17</v>
      </c>
      <c r="H11" s="8" t="s">
        <v>26</v>
      </c>
      <c r="I11" s="8" t="s">
        <v>18</v>
      </c>
      <c r="J11" s="8"/>
      <c r="K11" s="8">
        <v>4</v>
      </c>
      <c r="L11" s="8" t="s">
        <v>27</v>
      </c>
      <c r="M11" s="8" t="s">
        <v>19</v>
      </c>
    </row>
    <row r="12" spans="1:14" x14ac:dyDescent="0.3">
      <c r="A12" s="1">
        <v>11</v>
      </c>
      <c r="B12" s="1" t="s">
        <v>37</v>
      </c>
      <c r="C12" s="5" t="s">
        <v>25</v>
      </c>
      <c r="D12" s="1" t="s">
        <v>25</v>
      </c>
      <c r="E12" s="1" t="s">
        <v>25</v>
      </c>
      <c r="F12" s="1" t="s">
        <v>25</v>
      </c>
      <c r="G12" s="1" t="s">
        <v>17</v>
      </c>
      <c r="H12" s="1" t="s">
        <v>31</v>
      </c>
      <c r="I12" s="1" t="s">
        <v>18</v>
      </c>
      <c r="J12" s="1"/>
      <c r="K12" s="1">
        <v>4</v>
      </c>
      <c r="L12" s="1"/>
    </row>
    <row r="13" spans="1:14" x14ac:dyDescent="0.3">
      <c r="A13">
        <v>12</v>
      </c>
      <c r="B13" s="1" t="s">
        <v>38</v>
      </c>
      <c r="C13" s="5" t="s">
        <v>39</v>
      </c>
      <c r="D13" s="1" t="s">
        <v>39</v>
      </c>
      <c r="E13" s="1" t="s">
        <v>39</v>
      </c>
      <c r="F13" s="1" t="s">
        <v>39</v>
      </c>
      <c r="G13" s="1"/>
      <c r="H13" s="1"/>
      <c r="I13" s="1"/>
      <c r="J13" s="1"/>
      <c r="K13" s="1">
        <v>4</v>
      </c>
      <c r="L13" s="1"/>
    </row>
    <row r="14" spans="1:14" x14ac:dyDescent="0.3">
      <c r="A14" s="1">
        <v>13</v>
      </c>
      <c r="B14" s="1" t="s">
        <v>40</v>
      </c>
      <c r="C14" s="5" t="s">
        <v>40</v>
      </c>
      <c r="D14" s="1" t="s">
        <v>40</v>
      </c>
      <c r="E14" s="1" t="s">
        <v>40</v>
      </c>
      <c r="F14" s="1" t="s">
        <v>40</v>
      </c>
      <c r="G14" s="1" t="s">
        <v>17</v>
      </c>
      <c r="H14" s="1" t="s">
        <v>26</v>
      </c>
      <c r="I14" s="1"/>
      <c r="J14" s="1" t="s">
        <v>9</v>
      </c>
      <c r="K14" s="1">
        <v>4</v>
      </c>
      <c r="L14" s="1"/>
    </row>
    <row r="15" spans="1:14" x14ac:dyDescent="0.3">
      <c r="A15">
        <v>14</v>
      </c>
      <c r="B15" s="1" t="s">
        <v>41</v>
      </c>
      <c r="C15" s="5" t="s">
        <v>40</v>
      </c>
      <c r="D15" s="1" t="s">
        <v>40</v>
      </c>
      <c r="E15" s="1" t="s">
        <v>40</v>
      </c>
      <c r="F15" s="1" t="s">
        <v>40</v>
      </c>
      <c r="G15" s="1" t="s">
        <v>17</v>
      </c>
      <c r="H15" s="1" t="s">
        <v>31</v>
      </c>
      <c r="I15" s="1"/>
      <c r="J15" s="1"/>
      <c r="K15" s="1">
        <v>4</v>
      </c>
      <c r="L15" s="1"/>
    </row>
    <row r="16" spans="1:14" x14ac:dyDescent="0.3">
      <c r="A16" s="1">
        <v>15</v>
      </c>
      <c r="B16" t="s">
        <v>42</v>
      </c>
      <c r="C16" s="6" t="s">
        <v>42</v>
      </c>
      <c r="D16" t="s">
        <v>42</v>
      </c>
      <c r="E16" t="s">
        <v>42</v>
      </c>
      <c r="F16" t="s">
        <v>42</v>
      </c>
      <c r="G16" s="1" t="s">
        <v>17</v>
      </c>
      <c r="H16" s="1" t="s">
        <v>26</v>
      </c>
      <c r="J16" s="1" t="s">
        <v>9</v>
      </c>
      <c r="K16">
        <v>4</v>
      </c>
    </row>
    <row r="17" spans="1:13" x14ac:dyDescent="0.3">
      <c r="A17">
        <v>16</v>
      </c>
      <c r="B17" s="1" t="s">
        <v>43</v>
      </c>
      <c r="C17" s="5" t="s">
        <v>42</v>
      </c>
      <c r="D17" s="1" t="s">
        <v>42</v>
      </c>
      <c r="E17" s="1" t="s">
        <v>42</v>
      </c>
      <c r="F17" s="1" t="s">
        <v>42</v>
      </c>
      <c r="G17" s="1" t="s">
        <v>17</v>
      </c>
      <c r="H17" s="1" t="s">
        <v>31</v>
      </c>
      <c r="I17" s="1"/>
      <c r="J17" s="1"/>
      <c r="K17" s="1">
        <v>4</v>
      </c>
      <c r="L17" s="1"/>
    </row>
    <row r="18" spans="1:13" x14ac:dyDescent="0.3">
      <c r="A18" s="1">
        <v>17</v>
      </c>
      <c r="B18" t="s">
        <v>44</v>
      </c>
      <c r="C18" s="6" t="s">
        <v>45</v>
      </c>
      <c r="D18" t="s">
        <v>45</v>
      </c>
      <c r="E18" t="s">
        <v>45</v>
      </c>
      <c r="F18" t="s">
        <v>45</v>
      </c>
      <c r="G18" t="s">
        <v>17</v>
      </c>
      <c r="H18" s="1" t="s">
        <v>26</v>
      </c>
      <c r="J18" s="1" t="s">
        <v>9</v>
      </c>
      <c r="K18">
        <v>4</v>
      </c>
    </row>
    <row r="19" spans="1:13" x14ac:dyDescent="0.3">
      <c r="A19">
        <v>18</v>
      </c>
      <c r="B19" t="s">
        <v>46</v>
      </c>
      <c r="C19" s="6" t="s">
        <v>45</v>
      </c>
      <c r="D19" t="s">
        <v>45</v>
      </c>
      <c r="E19" t="s">
        <v>45</v>
      </c>
      <c r="F19" t="s">
        <v>45</v>
      </c>
      <c r="G19" t="s">
        <v>17</v>
      </c>
      <c r="H19" s="1" t="s">
        <v>31</v>
      </c>
      <c r="K19">
        <v>4</v>
      </c>
    </row>
    <row r="20" spans="1:13" x14ac:dyDescent="0.3">
      <c r="A20" s="1"/>
      <c r="B20" s="1"/>
      <c r="C20" s="5"/>
      <c r="D20" s="1"/>
      <c r="E20" s="1"/>
      <c r="F20" s="1"/>
      <c r="G20" s="1"/>
      <c r="H20" s="1"/>
      <c r="J20" s="2" t="s">
        <v>47</v>
      </c>
      <c r="K20" s="2">
        <f>18*4</f>
        <v>72</v>
      </c>
      <c r="L20" s="2"/>
    </row>
    <row r="21" spans="1:13" x14ac:dyDescent="0.3">
      <c r="A21" s="1"/>
      <c r="B21" s="1"/>
      <c r="C21" s="5"/>
      <c r="D21" s="1"/>
      <c r="E21" s="1"/>
      <c r="F21" s="1"/>
      <c r="G21" s="1"/>
      <c r="H21" s="1"/>
      <c r="J21" s="2" t="s">
        <v>48</v>
      </c>
      <c r="K21" s="2">
        <f>6*12</f>
        <v>72</v>
      </c>
      <c r="L21" s="2" t="s">
        <v>49</v>
      </c>
    </row>
    <row r="22" spans="1:13" x14ac:dyDescent="0.3">
      <c r="A22" s="1"/>
      <c r="B22" s="1"/>
      <c r="C22" s="5"/>
      <c r="D22" s="1"/>
      <c r="E22" s="1"/>
      <c r="F22" s="1"/>
      <c r="G22" s="1"/>
      <c r="H22" s="1"/>
      <c r="J22" s="2" t="s">
        <v>50</v>
      </c>
      <c r="K22" s="2">
        <f>K20*K21</f>
        <v>5184</v>
      </c>
      <c r="L22" s="2" t="s">
        <v>51</v>
      </c>
    </row>
    <row r="25" spans="1:13" x14ac:dyDescent="0.3">
      <c r="D25" s="3"/>
      <c r="M25">
        <f>72*4</f>
        <v>288</v>
      </c>
    </row>
    <row r="26" spans="1:13" x14ac:dyDescent="0.3">
      <c r="D26" s="3"/>
      <c r="M26">
        <f>300*4/10000</f>
        <v>0.12</v>
      </c>
    </row>
  </sheetData>
  <printOptions horizontalCentered="1" verticalCentered="1" gridLines="1"/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3AF-81CF-344A-BCC9-BEE5E03E5184}">
  <dimension ref="A5:G9"/>
  <sheetViews>
    <sheetView zoomScale="150" workbookViewId="0">
      <selection activeCell="F12" sqref="F12"/>
    </sheetView>
  </sheetViews>
  <sheetFormatPr defaultColWidth="11" defaultRowHeight="15.6" x14ac:dyDescent="0.3"/>
  <cols>
    <col min="1" max="1" width="15.19921875" customWidth="1"/>
    <col min="2" max="2" width="71.69921875" customWidth="1"/>
    <col min="3" max="3" width="30.5" customWidth="1"/>
    <col min="4" max="4" width="14.69921875" customWidth="1"/>
    <col min="5" max="5" width="17.69921875" customWidth="1"/>
    <col min="6" max="6" width="18.69921875" customWidth="1"/>
    <col min="7" max="7" width="23" customWidth="1"/>
  </cols>
  <sheetData>
    <row r="5" spans="1:7" x14ac:dyDescent="0.3"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</row>
    <row r="6" spans="1:7" x14ac:dyDescent="0.3">
      <c r="C6" t="s">
        <v>58</v>
      </c>
      <c r="D6" t="s">
        <v>59</v>
      </c>
      <c r="E6" t="s">
        <v>60</v>
      </c>
      <c r="F6" t="s">
        <v>61</v>
      </c>
      <c r="G6" t="s">
        <v>62</v>
      </c>
    </row>
    <row r="7" spans="1:7" x14ac:dyDescent="0.3">
      <c r="C7" t="s">
        <v>45</v>
      </c>
      <c r="D7" t="s">
        <v>63</v>
      </c>
      <c r="E7" t="s">
        <v>64</v>
      </c>
      <c r="F7" t="s">
        <v>65</v>
      </c>
    </row>
    <row r="8" spans="1:7" x14ac:dyDescent="0.3">
      <c r="C8" t="s">
        <v>40</v>
      </c>
      <c r="D8" t="s">
        <v>66</v>
      </c>
      <c r="E8" t="s">
        <v>64</v>
      </c>
      <c r="F8" t="s">
        <v>67</v>
      </c>
      <c r="G8" t="s">
        <v>68</v>
      </c>
    </row>
    <row r="9" spans="1:7" x14ac:dyDescent="0.3">
      <c r="A9" t="s">
        <v>69</v>
      </c>
      <c r="B9" t="s">
        <v>70</v>
      </c>
      <c r="C9" t="s">
        <v>71</v>
      </c>
      <c r="D9" t="s">
        <v>72</v>
      </c>
      <c r="E9" t="s">
        <v>60</v>
      </c>
      <c r="F9" t="s">
        <v>73</v>
      </c>
      <c r="G9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8A43-51FF-7D4C-A194-A9F88C9B26D6}">
  <dimension ref="B5:D26"/>
  <sheetViews>
    <sheetView topLeftCell="A4" workbookViewId="0">
      <selection activeCell="L15" sqref="L15"/>
    </sheetView>
  </sheetViews>
  <sheetFormatPr defaultColWidth="11" defaultRowHeight="15.6" x14ac:dyDescent="0.3"/>
  <cols>
    <col min="2" max="2" width="17.5" customWidth="1"/>
    <col min="3" max="3" width="13.796875" customWidth="1"/>
    <col min="4" max="4" width="16.19921875" customWidth="1"/>
  </cols>
  <sheetData>
    <row r="5" spans="2:4" x14ac:dyDescent="0.3">
      <c r="B5" t="s">
        <v>75</v>
      </c>
      <c r="C5">
        <v>24</v>
      </c>
      <c r="D5" t="s">
        <v>76</v>
      </c>
    </row>
    <row r="7" spans="2:4" x14ac:dyDescent="0.3">
      <c r="B7" t="s">
        <v>77</v>
      </c>
      <c r="C7">
        <v>100</v>
      </c>
      <c r="D7" t="s">
        <v>78</v>
      </c>
    </row>
    <row r="8" spans="2:4" x14ac:dyDescent="0.3">
      <c r="C8">
        <v>200</v>
      </c>
      <c r="D8" t="s">
        <v>78</v>
      </c>
    </row>
    <row r="9" spans="2:4" x14ac:dyDescent="0.3">
      <c r="C9">
        <v>300</v>
      </c>
      <c r="D9" t="s">
        <v>78</v>
      </c>
    </row>
    <row r="11" spans="2:4" x14ac:dyDescent="0.3">
      <c r="B11" t="s">
        <v>54</v>
      </c>
      <c r="C11" s="4">
        <v>2.4</v>
      </c>
      <c r="D11" t="s">
        <v>79</v>
      </c>
    </row>
    <row r="12" spans="2:4" x14ac:dyDescent="0.3">
      <c r="C12" s="4">
        <f>C11*2</f>
        <v>4.8</v>
      </c>
    </row>
    <row r="13" spans="2:4" x14ac:dyDescent="0.3">
      <c r="C13" s="4">
        <f>C11*3</f>
        <v>7.1999999999999993</v>
      </c>
    </row>
    <row r="14" spans="2:4" x14ac:dyDescent="0.3">
      <c r="C14" s="4"/>
    </row>
    <row r="15" spans="2:4" x14ac:dyDescent="0.3">
      <c r="C15" s="4">
        <f>C11*10000/1000</f>
        <v>24</v>
      </c>
      <c r="D15" t="s">
        <v>80</v>
      </c>
    </row>
    <row r="16" spans="2:4" x14ac:dyDescent="0.3">
      <c r="C16" s="4">
        <f t="shared" ref="C16:C17" si="0">C12*10000/1000</f>
        <v>48</v>
      </c>
    </row>
    <row r="17" spans="3:4" x14ac:dyDescent="0.3">
      <c r="C17" s="4">
        <f t="shared" si="0"/>
        <v>72</v>
      </c>
    </row>
    <row r="18" spans="3:4" x14ac:dyDescent="0.3">
      <c r="C18" s="4"/>
    </row>
    <row r="19" spans="3:4" x14ac:dyDescent="0.3">
      <c r="C19">
        <f>C15*60/10000</f>
        <v>0.14399999999999999</v>
      </c>
      <c r="D19" t="s">
        <v>81</v>
      </c>
    </row>
    <row r="20" spans="3:4" x14ac:dyDescent="0.3">
      <c r="C20">
        <f t="shared" ref="C20:C21" si="1">C16*60/10000</f>
        <v>0.28799999999999998</v>
      </c>
    </row>
    <row r="21" spans="3:4" x14ac:dyDescent="0.3">
      <c r="C21">
        <f t="shared" si="1"/>
        <v>0.432</v>
      </c>
    </row>
    <row r="24" spans="3:4" x14ac:dyDescent="0.3">
      <c r="C24">
        <f>C19*8</f>
        <v>1.1519999999999999</v>
      </c>
      <c r="D24" t="s">
        <v>82</v>
      </c>
    </row>
    <row r="25" spans="3:4" x14ac:dyDescent="0.3">
      <c r="C25">
        <f t="shared" ref="C25:C26" si="2">C20*8</f>
        <v>2.3039999999999998</v>
      </c>
    </row>
    <row r="26" spans="3:4" x14ac:dyDescent="0.3">
      <c r="C26">
        <f t="shared" si="2"/>
        <v>3.456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FD5BE9F69354CA7014CB291413625" ma:contentTypeVersion="15" ma:contentTypeDescription="Create a new document." ma:contentTypeScope="" ma:versionID="beef466e13dfbb88bd606201b6e83cb6">
  <xsd:schema xmlns:xsd="http://www.w3.org/2001/XMLSchema" xmlns:xs="http://www.w3.org/2001/XMLSchema" xmlns:p="http://schemas.microsoft.com/office/2006/metadata/properties" xmlns:ns2="d46c0cbf-58c7-47e7-b42a-e6bacdb52c7b" xmlns:ns3="40734ebe-1b04-41da-a656-31f022c6432c" targetNamespace="http://schemas.microsoft.com/office/2006/metadata/properties" ma:root="true" ma:fieldsID="9b548a0425aa3b37d2ed28996648b938" ns2:_="" ns3:_="">
    <xsd:import namespace="d46c0cbf-58c7-47e7-b42a-e6bacdb52c7b"/>
    <xsd:import namespace="40734ebe-1b04-41da-a656-31f022c643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c0cbf-58c7-47e7-b42a-e6bacdb52c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cd08861-88c0-49b2-8510-903f698cfa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34ebe-1b04-41da-a656-31f022c6432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6dc5253-62d1-4364-a6a2-2c6c48e52059}" ma:internalName="TaxCatchAll" ma:showField="CatchAllData" ma:web="40734ebe-1b04-41da-a656-31f022c643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734ebe-1b04-41da-a656-31f022c6432c" xsi:nil="true"/>
    <lcf76f155ced4ddcb4097134ff3c332f xmlns="d46c0cbf-58c7-47e7-b42a-e6bacdb52c7b">
      <Terms xmlns="http://schemas.microsoft.com/office/infopath/2007/PartnerControls"/>
    </lcf76f155ced4ddcb4097134ff3c332f>
    <SharedWithUsers xmlns="40734ebe-1b04-41da-a656-31f022c6432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5FEADEE-89E7-4ED4-B41A-D19396949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16EA82-3C94-42CE-BA0B-60292A1069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c0cbf-58c7-47e7-b42a-e6bacdb52c7b"/>
    <ds:schemaRef ds:uri="40734ebe-1b04-41da-a656-31f022c643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300DA3-DADC-429B-89C2-35B361EB9A18}">
  <ds:schemaRefs>
    <ds:schemaRef ds:uri="http://schemas.microsoft.com/office/2006/metadata/properties"/>
    <ds:schemaRef ds:uri="http://schemas.microsoft.com/office/infopath/2007/PartnerControls"/>
    <ds:schemaRef ds:uri="40734ebe-1b04-41da-a656-31f022c6432c"/>
    <ds:schemaRef ds:uri="d46c0cbf-58c7-47e7-b42a-e6bacdb52c7b"/>
  </ds:schemaRefs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Design</vt:lpstr>
      <vt:lpstr>All crop seeding rate</vt:lpstr>
      <vt:lpstr>Perennial Rye seeding rate</vt:lpstr>
      <vt:lpstr>Design!Print_Area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Eusun Han</dc:creator>
  <cp:keywords/>
  <dc:description/>
  <cp:lastModifiedBy>Virginia Anne Nichols</cp:lastModifiedBy>
  <cp:revision/>
  <dcterms:created xsi:type="dcterms:W3CDTF">2023-08-14T09:33:33Z</dcterms:created>
  <dcterms:modified xsi:type="dcterms:W3CDTF">2026-01-09T14:04:37Z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0x0101000DAFD5BE9F69354CA7014CB291413625</vt:lpwstr>
  </property>
  <property fmtid="{D5CDD505-2E9C-101B-9397-08002B2CF9AE}" pid="3" name="MediaServiceImageTags">
    <vt:lpwstr/>
  </property>
</Properties>
</file>