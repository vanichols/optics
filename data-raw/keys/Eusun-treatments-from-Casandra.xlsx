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5048\AppData\Local\Microsoft\Windows\INetCache\Content.Outlook\3CX3CKI2\"/>
    </mc:Choice>
  </mc:AlternateContent>
  <xr:revisionPtr revIDLastSave="0" documentId="13_ncr:1_{8FAFAFA7-FB37-4EFD-97BD-97853E135E3F}" xr6:coauthVersionLast="47" xr6:coauthVersionMax="47" xr10:uidLastSave="{00000000-0000-0000-0000-000000000000}"/>
  <bookViews>
    <workbookView xWindow="-108" yWindow="-108" windowWidth="23256" windowHeight="12456" xr2:uid="{56B92CB4-16D8-4430-8ED3-CFE59EB1CC55}"/>
  </bookViews>
  <sheets>
    <sheet name="Grain" sheetId="1" r:id="rId1"/>
    <sheet name="St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<sst xmlns="http://schemas.openxmlformats.org/spreadsheetml/2006/main" count="61" uniqueCount="30">
  <si>
    <t>Plot</t>
  </si>
  <si>
    <t>17_West</t>
  </si>
  <si>
    <t>17_East</t>
  </si>
  <si>
    <t>18_West</t>
  </si>
  <si>
    <t>18_East</t>
  </si>
  <si>
    <t>Analys ID</t>
  </si>
  <si>
    <t>Treatment</t>
  </si>
  <si>
    <t>PerennialRye_Grain_2025_19Aug_Perennial_System_42474</t>
  </si>
  <si>
    <t>PerennialRye_Straw_2025_19Aug_Perennial_System_42474</t>
  </si>
  <si>
    <t>Total fresh 
weight kg</t>
  </si>
  <si>
    <t>DM %</t>
  </si>
  <si>
    <t>Subs. fresh
 weight g</t>
  </si>
  <si>
    <t>Subs. Dry 
weight g</t>
  </si>
  <si>
    <t>Total straw fresh weight from harvester</t>
  </si>
  <si>
    <t>Straw sample choped on the big chopper</t>
  </si>
  <si>
    <t>Subsample Dry DM%</t>
  </si>
  <si>
    <t>Store for further analysis</t>
  </si>
  <si>
    <t>Yeld Kg/Ha</t>
  </si>
  <si>
    <t>Tot: 184,14 kg</t>
  </si>
  <si>
    <t>3,19 t/ha</t>
  </si>
  <si>
    <t>TKW g</t>
  </si>
  <si>
    <t>Germination
 rate %</t>
  </si>
  <si>
    <t>OBS.</t>
  </si>
  <si>
    <t>Ergot</t>
  </si>
  <si>
    <t>TKW 24,16 g</t>
  </si>
  <si>
    <t>Total dry wight
 after cleaning 
kg</t>
  </si>
  <si>
    <t>Protein
 %</t>
  </si>
  <si>
    <t>Water
 %</t>
  </si>
  <si>
    <t>West 100
 pl/mp</t>
  </si>
  <si>
    <t>East 300 
pl/mp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</si>
</sst>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indexed="8"/>
      <name val="MS Sans Serif"/>
      <family val="2"/>
    </font>
    <font>
      <sz val="11"/>
      <color indexed="8"/>
      <name val="MS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4" borderId="0" xfId="0" applyFont="1" applyFill="1"/>
    <xf numFmtId="0" fontId="1" fillId="4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Protection="1">
      <protection locked="0"/>
    </xf>
    <xf numFmtId="0" fontId="1" fillId="0" borderId="0" xfId="0" applyFont="1"/>
    <xf numFmtId="0" fontId="1" fillId="6" borderId="0" xfId="0" applyFont="1" applyFill="1"/>
    <xf numFmtId="0" fontId="0" fillId="6" borderId="4" xfId="0" applyFill="1" applyBorder="1"/>
    <xf numFmtId="0" fontId="0" fillId="0" borderId="4" xfId="0" applyBorder="1"/>
    <xf numFmtId="0" fontId="0" fillId="9" borderId="4" xfId="0" applyFill="1" applyBorder="1"/>
    <xf numFmtId="0" fontId="0" fillId="6" borderId="4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3" xfId="0" applyFill="1" applyBorder="1"/>
    <xf numFmtId="0" fontId="0" fillId="8" borderId="4" xfId="0" applyFill="1" applyBorder="1"/>
    <xf numFmtId="9" fontId="0" fillId="8" borderId="4" xfId="0" applyNumberFormat="1" applyFill="1" applyBorder="1" applyAlignment="1">
      <alignment horizontal="center"/>
    </xf>
    <xf numFmtId="0" fontId="0" fillId="8" borderId="5" xfId="0" applyFill="1" applyBorder="1"/>
    <xf numFmtId="0" fontId="0" fillId="3" borderId="1" xfId="0" applyFill="1" applyBorder="1"/>
    <xf numFmtId="0" fontId="0" fillId="0" borderId="3" xfId="0" applyBorder="1"/>
    <xf numFmtId="0" fontId="0" fillId="0" borderId="5" xfId="0" applyBorder="1"/>
    <xf numFmtId="0" fontId="0" fillId="2" borderId="0" xfId="0" applyFill="1"/>
    <xf numFmtId="0" fontId="0" fillId="7" borderId="0" xfId="0" applyFill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59D1-8ED9-4538-AD6B-C52F2D16DBFD}">
  <dimension ref="A2:J19"/>
  <sheetViews>
    <sheetView tabSelected="1" topLeftCell="A2" workbookViewId="0">
      <selection activeCell="M18" sqref="M18"/>
    </sheetView>
  </sheetViews>
  <sheetFormatPr defaultRowHeight="14.4" x14ac:dyDescent="0.3"/>
  <cols>
    <col min="1" max="1" width="5.6640625" customWidth="1"/>
    <col min="2" max="2" width="10.33203125" customWidth="1"/>
    <col min="3" max="3" width="9.6640625" customWidth="1"/>
    <col min="4" max="4" width="8.44140625" customWidth="1"/>
    <col min="5" max="5" width="6.109375" customWidth="1"/>
    <col min="6" max="6" width="7.109375" customWidth="1"/>
    <col min="7" max="7" width="6.5546875" customWidth="1"/>
    <col min="8" max="8" width="10" customWidth="1"/>
    <col min="9" max="9" width="11.88671875" customWidth="1"/>
    <col min="10" max="10" width="12.44140625" customWidth="1"/>
  </cols>
  <sheetData>
    <row r="2" spans="1:10" x14ac:dyDescent="0.3">
      <c r="A2" s="25" t="s">
        <v>7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72" x14ac:dyDescent="0.3">
      <c r="A3" s="22" t="s">
        <v>0</v>
      </c>
      <c r="B3" s="22" t="s">
        <v>6</v>
      </c>
      <c r="C3" s="27" t="s">
        <v>5</v>
      </c>
      <c r="D3" s="28" t="s">
        <v>25</v>
      </c>
      <c r="E3" s="17" t="s">
        <v>27</v>
      </c>
      <c r="F3" s="17" t="s">
        <v>26</v>
      </c>
      <c r="G3" s="22" t="s">
        <v>20</v>
      </c>
      <c r="H3" s="22" t="s">
        <v>17</v>
      </c>
      <c r="I3" s="17" t="s">
        <v>21</v>
      </c>
      <c r="J3" s="22" t="s">
        <v>22</v>
      </c>
    </row>
    <row r="4" spans="1:10" ht="15.6" x14ac:dyDescent="0.35">
      <c r="A4" s="29">
        <v>8</v>
      </c>
      <c r="B4" s="30" t="s">
        <v>1</v>
      </c>
      <c r="C4" s="31">
        <v>2502253</v>
      </c>
      <c r="D4" s="30">
        <v>13.08</v>
      </c>
      <c r="E4" s="30">
        <v>14.6</v>
      </c>
      <c r="F4" s="30">
        <v>12.3</v>
      </c>
      <c r="G4" s="30">
        <v>28.7</v>
      </c>
      <c r="H4" s="32">
        <f>(D4/36)*10000</f>
        <v>3633.3333333333335</v>
      </c>
      <c r="I4" s="18"/>
      <c r="J4" s="23"/>
    </row>
    <row r="5" spans="1:10" ht="38.4" customHeight="1" x14ac:dyDescent="0.35">
      <c r="A5" s="29">
        <v>8</v>
      </c>
      <c r="B5" s="30" t="s">
        <v>2</v>
      </c>
      <c r="C5" s="31">
        <v>2502254</v>
      </c>
      <c r="D5" s="30">
        <v>13.84</v>
      </c>
      <c r="E5" s="30">
        <v>14.7</v>
      </c>
      <c r="F5" s="30">
        <v>11.6</v>
      </c>
      <c r="G5" s="30">
        <v>27.1</v>
      </c>
      <c r="H5" s="32">
        <f t="shared" ref="H5:H19" si="0">(D5/36)*10000</f>
        <v>3844.4444444444443</v>
      </c>
      <c r="I5" s="19"/>
      <c r="J5" s="16" t="s">
        <v>28</v>
      </c>
    </row>
    <row r="6" spans="1:10" ht="29.4" x14ac:dyDescent="0.35">
      <c r="A6" s="29">
        <v>55</v>
      </c>
      <c r="B6" s="30" t="s">
        <v>3</v>
      </c>
      <c r="C6" s="31">
        <v>2502255</v>
      </c>
      <c r="D6" s="30">
        <v>10.44</v>
      </c>
      <c r="E6" s="30">
        <v>15.5</v>
      </c>
      <c r="F6" s="30">
        <v>11.3</v>
      </c>
      <c r="G6" s="30">
        <v>22.7</v>
      </c>
      <c r="H6" s="32">
        <f t="shared" si="0"/>
        <v>2900</v>
      </c>
      <c r="I6" s="19"/>
      <c r="J6" s="16" t="s">
        <v>29</v>
      </c>
    </row>
    <row r="7" spans="1:10" ht="15.6" x14ac:dyDescent="0.35">
      <c r="A7" s="29">
        <v>55</v>
      </c>
      <c r="B7" s="30" t="s">
        <v>4</v>
      </c>
      <c r="C7" s="31">
        <v>2502256</v>
      </c>
      <c r="D7" s="30">
        <v>8.58</v>
      </c>
      <c r="E7" s="30">
        <v>15.3</v>
      </c>
      <c r="F7" s="30">
        <v>11.2</v>
      </c>
      <c r="G7" s="30">
        <v>23</v>
      </c>
      <c r="H7" s="32">
        <f t="shared" si="0"/>
        <v>2383.3333333333335</v>
      </c>
      <c r="I7" s="19"/>
      <c r="J7" s="14"/>
    </row>
    <row r="8" spans="1:10" ht="15.6" x14ac:dyDescent="0.35">
      <c r="A8" s="29">
        <v>13</v>
      </c>
      <c r="B8" s="30" t="s">
        <v>1</v>
      </c>
      <c r="C8" s="31">
        <v>2502257</v>
      </c>
      <c r="D8" s="30">
        <v>15.46</v>
      </c>
      <c r="E8" s="30">
        <v>14.7</v>
      </c>
      <c r="F8" s="30">
        <v>12.8</v>
      </c>
      <c r="G8" s="30">
        <v>27.7</v>
      </c>
      <c r="H8" s="32">
        <f t="shared" si="0"/>
        <v>4294.4444444444443</v>
      </c>
      <c r="I8" s="19"/>
      <c r="J8" s="14"/>
    </row>
    <row r="9" spans="1:10" ht="15.6" x14ac:dyDescent="0.35">
      <c r="A9" s="29">
        <v>13</v>
      </c>
      <c r="B9" s="30" t="s">
        <v>2</v>
      </c>
      <c r="C9" s="31">
        <v>2502258</v>
      </c>
      <c r="D9" s="30">
        <v>14.18</v>
      </c>
      <c r="E9" s="30">
        <v>14.6</v>
      </c>
      <c r="F9" s="30">
        <v>11.9</v>
      </c>
      <c r="G9" s="30">
        <v>25.6</v>
      </c>
      <c r="H9" s="32">
        <f t="shared" si="0"/>
        <v>3938.8888888888891</v>
      </c>
      <c r="I9" s="20">
        <v>0.81</v>
      </c>
      <c r="J9" s="13" t="s">
        <v>18</v>
      </c>
    </row>
    <row r="10" spans="1:10" ht="15.6" x14ac:dyDescent="0.35">
      <c r="A10" s="29">
        <v>69</v>
      </c>
      <c r="B10" s="30" t="s">
        <v>3</v>
      </c>
      <c r="C10" s="31">
        <v>2502259</v>
      </c>
      <c r="D10" s="30">
        <v>9.26</v>
      </c>
      <c r="E10" s="30">
        <v>15.5</v>
      </c>
      <c r="F10" s="30">
        <v>12.8</v>
      </c>
      <c r="G10" s="30">
        <v>20.100000000000001</v>
      </c>
      <c r="H10" s="32">
        <f t="shared" si="0"/>
        <v>2572.2222222222226</v>
      </c>
      <c r="I10" s="19"/>
      <c r="J10" s="13" t="s">
        <v>19</v>
      </c>
    </row>
    <row r="11" spans="1:10" ht="15.6" x14ac:dyDescent="0.35">
      <c r="A11" s="29">
        <v>69</v>
      </c>
      <c r="B11" s="30" t="s">
        <v>4</v>
      </c>
      <c r="C11" s="31">
        <v>2502260</v>
      </c>
      <c r="D11" s="30">
        <v>6.56</v>
      </c>
      <c r="E11" s="30">
        <v>15.5</v>
      </c>
      <c r="F11" s="30">
        <v>12</v>
      </c>
      <c r="G11" s="30">
        <v>18.8</v>
      </c>
      <c r="H11" s="32">
        <f t="shared" si="0"/>
        <v>1822.2222222222219</v>
      </c>
      <c r="I11" s="19"/>
      <c r="J11" s="13" t="s">
        <v>24</v>
      </c>
    </row>
    <row r="12" spans="1:10" ht="15.6" x14ac:dyDescent="0.35">
      <c r="A12" s="29">
        <v>4</v>
      </c>
      <c r="B12" s="30" t="s">
        <v>1</v>
      </c>
      <c r="C12" s="31">
        <v>2502261</v>
      </c>
      <c r="D12" s="30">
        <v>10.8</v>
      </c>
      <c r="E12" s="30">
        <v>15.1</v>
      </c>
      <c r="F12" s="30">
        <v>12.2</v>
      </c>
      <c r="G12" s="30">
        <v>22.1</v>
      </c>
      <c r="H12" s="32">
        <f t="shared" si="0"/>
        <v>3000.0000000000005</v>
      </c>
      <c r="I12" s="19"/>
      <c r="J12" s="15" t="s">
        <v>23</v>
      </c>
    </row>
    <row r="13" spans="1:10" ht="15.6" x14ac:dyDescent="0.35">
      <c r="A13" s="29">
        <v>4</v>
      </c>
      <c r="B13" s="30" t="s">
        <v>2</v>
      </c>
      <c r="C13" s="31">
        <v>2502262</v>
      </c>
      <c r="D13" s="30">
        <v>9.64</v>
      </c>
      <c r="E13" s="30">
        <v>14.9</v>
      </c>
      <c r="F13" s="30">
        <v>11.6</v>
      </c>
      <c r="G13" s="30">
        <v>21.6</v>
      </c>
      <c r="H13" s="32">
        <f t="shared" si="0"/>
        <v>2677.7777777777778</v>
      </c>
      <c r="I13" s="19"/>
      <c r="J13" s="14"/>
    </row>
    <row r="14" spans="1:10" ht="15.6" x14ac:dyDescent="0.35">
      <c r="A14" s="29">
        <v>3</v>
      </c>
      <c r="B14" s="30" t="s">
        <v>3</v>
      </c>
      <c r="C14" s="31">
        <v>2502263</v>
      </c>
      <c r="D14" s="30">
        <v>14.34</v>
      </c>
      <c r="E14" s="30">
        <v>14.6</v>
      </c>
      <c r="F14" s="30">
        <v>12.1</v>
      </c>
      <c r="G14" s="30">
        <v>28.2</v>
      </c>
      <c r="H14" s="32">
        <f t="shared" si="0"/>
        <v>3983.333333333333</v>
      </c>
      <c r="I14" s="19"/>
      <c r="J14" s="14"/>
    </row>
    <row r="15" spans="1:10" ht="15.6" x14ac:dyDescent="0.35">
      <c r="A15" s="29">
        <v>3</v>
      </c>
      <c r="B15" s="30" t="s">
        <v>4</v>
      </c>
      <c r="C15" s="31">
        <v>2502264</v>
      </c>
      <c r="D15" s="30">
        <v>15.52</v>
      </c>
      <c r="E15" s="30">
        <v>14.5</v>
      </c>
      <c r="F15" s="30">
        <v>12</v>
      </c>
      <c r="G15" s="30">
        <v>26.7</v>
      </c>
      <c r="H15" s="32">
        <f t="shared" si="0"/>
        <v>4311.1111111111113</v>
      </c>
      <c r="I15" s="19"/>
      <c r="J15" s="14"/>
    </row>
    <row r="16" spans="1:10" ht="15.6" x14ac:dyDescent="0.35">
      <c r="A16" s="29">
        <v>26</v>
      </c>
      <c r="B16" s="30" t="s">
        <v>1</v>
      </c>
      <c r="C16" s="31">
        <v>2502265</v>
      </c>
      <c r="D16" s="30">
        <v>12.5</v>
      </c>
      <c r="E16" s="30">
        <v>14.6</v>
      </c>
      <c r="F16" s="30">
        <v>12.9</v>
      </c>
      <c r="G16" s="30">
        <v>22.4</v>
      </c>
      <c r="H16" s="32">
        <f t="shared" si="0"/>
        <v>3472.2222222222222</v>
      </c>
      <c r="I16" s="19"/>
      <c r="J16" s="14"/>
    </row>
    <row r="17" spans="1:10" ht="15.6" x14ac:dyDescent="0.35">
      <c r="A17" s="29">
        <v>26</v>
      </c>
      <c r="B17" s="30" t="s">
        <v>2</v>
      </c>
      <c r="C17" s="31">
        <v>2502266</v>
      </c>
      <c r="D17" s="30">
        <v>14.44</v>
      </c>
      <c r="E17" s="30">
        <v>14.7</v>
      </c>
      <c r="F17" s="30">
        <v>12.3</v>
      </c>
      <c r="G17" s="30">
        <v>27.6</v>
      </c>
      <c r="H17" s="32">
        <f t="shared" si="0"/>
        <v>4011.1111111111109</v>
      </c>
      <c r="I17" s="19"/>
      <c r="J17" s="14"/>
    </row>
    <row r="18" spans="1:10" ht="15.6" x14ac:dyDescent="0.35">
      <c r="A18" s="29">
        <v>66</v>
      </c>
      <c r="B18" s="30" t="s">
        <v>3</v>
      </c>
      <c r="C18" s="31">
        <v>2502267</v>
      </c>
      <c r="D18" s="30">
        <v>7.86</v>
      </c>
      <c r="E18" s="30">
        <v>16</v>
      </c>
      <c r="F18" s="30">
        <v>13.1</v>
      </c>
      <c r="G18" s="30">
        <v>21.9</v>
      </c>
      <c r="H18" s="32">
        <f t="shared" si="0"/>
        <v>2183.3333333333335</v>
      </c>
      <c r="I18" s="19"/>
      <c r="J18" s="14"/>
    </row>
    <row r="19" spans="1:10" ht="15.6" x14ac:dyDescent="0.35">
      <c r="A19" s="29">
        <v>66</v>
      </c>
      <c r="B19" s="30" t="s">
        <v>4</v>
      </c>
      <c r="C19" s="31">
        <v>2502268</v>
      </c>
      <c r="D19" s="30">
        <v>7.7</v>
      </c>
      <c r="E19" s="30">
        <v>15.1</v>
      </c>
      <c r="F19" s="30">
        <v>12</v>
      </c>
      <c r="G19" s="30">
        <v>22.5</v>
      </c>
      <c r="H19" s="32">
        <f t="shared" si="0"/>
        <v>2138.8888888888891</v>
      </c>
      <c r="I19" s="21"/>
      <c r="J19" s="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2A1-1916-45EA-AF83-9FADDCBEB251}">
  <dimension ref="B2:H25"/>
  <sheetViews>
    <sheetView topLeftCell="A8" workbookViewId="0">
      <selection activeCell="Q5" sqref="Q5"/>
    </sheetView>
  </sheetViews>
  <sheetFormatPr defaultRowHeight="14.4" x14ac:dyDescent="0.3"/>
  <cols>
    <col min="2" max="2" width="8.33203125" customWidth="1"/>
    <col min="3" max="3" width="11.109375" customWidth="1"/>
    <col min="4" max="4" width="11.6640625" customWidth="1"/>
    <col min="5" max="5" width="10.6640625" customWidth="1"/>
    <col min="6" max="6" width="10.44140625" customWidth="1"/>
    <col min="7" max="7" width="10" customWidth="1"/>
    <col min="8" max="8" width="10.44140625" customWidth="1"/>
  </cols>
  <sheetData>
    <row r="2" spans="2:8" ht="18" x14ac:dyDescent="0.35">
      <c r="B2" s="1" t="s">
        <v>8</v>
      </c>
      <c r="C2" s="1"/>
      <c r="D2" s="1"/>
      <c r="E2" s="1"/>
      <c r="F2" s="2"/>
      <c r="G2" s="2"/>
      <c r="H2" s="2"/>
    </row>
    <row r="3" spans="2:8" ht="54" x14ac:dyDescent="0.35">
      <c r="B3" s="3" t="s">
        <v>0</v>
      </c>
      <c r="C3" s="3" t="s">
        <v>6</v>
      </c>
      <c r="D3" s="3" t="s">
        <v>5</v>
      </c>
      <c r="E3" s="4" t="s">
        <v>9</v>
      </c>
      <c r="F3" s="5" t="s">
        <v>11</v>
      </c>
      <c r="G3" s="5" t="s">
        <v>12</v>
      </c>
      <c r="H3" s="6" t="s">
        <v>10</v>
      </c>
    </row>
    <row r="4" spans="2:8" ht="18" x14ac:dyDescent="0.35">
      <c r="B4" s="7">
        <v>8</v>
      </c>
      <c r="C4" s="7" t="s">
        <v>1</v>
      </c>
      <c r="D4" s="8">
        <v>2502237</v>
      </c>
      <c r="E4" s="9">
        <v>39.200000000000003</v>
      </c>
      <c r="F4" s="10">
        <v>92.37</v>
      </c>
      <c r="G4" s="10">
        <v>51.03000000000003</v>
      </c>
      <c r="H4" s="10">
        <v>55.2452094835986</v>
      </c>
    </row>
    <row r="5" spans="2:8" ht="18" x14ac:dyDescent="0.35">
      <c r="B5" s="7">
        <v>8</v>
      </c>
      <c r="C5" s="7" t="s">
        <v>2</v>
      </c>
      <c r="D5" s="8">
        <v>2502238</v>
      </c>
      <c r="E5" s="9">
        <v>42</v>
      </c>
      <c r="F5" s="10">
        <v>107.53000000000003</v>
      </c>
      <c r="G5" s="10">
        <v>58.03000000000003</v>
      </c>
      <c r="H5" s="10">
        <v>53.966334976285701</v>
      </c>
    </row>
    <row r="6" spans="2:8" ht="18" x14ac:dyDescent="0.35">
      <c r="B6" s="7">
        <v>55</v>
      </c>
      <c r="C6" s="7" t="s">
        <v>3</v>
      </c>
      <c r="D6" s="8">
        <v>2502239</v>
      </c>
      <c r="E6" s="9">
        <v>30.5</v>
      </c>
      <c r="F6" s="10">
        <v>93.88</v>
      </c>
      <c r="G6" s="10">
        <v>48.639999999999986</v>
      </c>
      <c r="H6" s="10">
        <v>51.810822326374087</v>
      </c>
    </row>
    <row r="7" spans="2:8" ht="18" x14ac:dyDescent="0.35">
      <c r="B7" s="7">
        <v>55</v>
      </c>
      <c r="C7" s="7" t="s">
        <v>4</v>
      </c>
      <c r="D7" s="8">
        <v>2502240</v>
      </c>
      <c r="E7" s="9">
        <v>30.5</v>
      </c>
      <c r="F7" s="10">
        <v>84.449999999999989</v>
      </c>
      <c r="G7" s="10">
        <v>44.639999999999986</v>
      </c>
      <c r="H7" s="10">
        <v>52.859680284191825</v>
      </c>
    </row>
    <row r="8" spans="2:8" ht="18" x14ac:dyDescent="0.35">
      <c r="B8" s="7">
        <v>13</v>
      </c>
      <c r="C8" s="7" t="s">
        <v>1</v>
      </c>
      <c r="D8" s="8">
        <v>2502241</v>
      </c>
      <c r="E8" s="9">
        <v>53.2</v>
      </c>
      <c r="F8" s="10">
        <v>111.97000000000003</v>
      </c>
      <c r="G8" s="10">
        <v>51.110000000000014</v>
      </c>
      <c r="H8" s="10">
        <v>45.646155220148252</v>
      </c>
    </row>
    <row r="9" spans="2:8" ht="18" x14ac:dyDescent="0.35">
      <c r="B9" s="7">
        <v>13</v>
      </c>
      <c r="C9" s="7" t="s">
        <v>2</v>
      </c>
      <c r="D9" s="8">
        <v>2502242</v>
      </c>
      <c r="E9" s="9">
        <v>49.1</v>
      </c>
      <c r="F9" s="10">
        <v>82.470000000000027</v>
      </c>
      <c r="G9" s="10">
        <v>47.430000000000064</v>
      </c>
      <c r="H9" s="10">
        <v>57.511822480902211</v>
      </c>
    </row>
    <row r="10" spans="2:8" ht="18" x14ac:dyDescent="0.35">
      <c r="B10" s="7">
        <v>69</v>
      </c>
      <c r="C10" s="7" t="s">
        <v>3</v>
      </c>
      <c r="D10" s="8">
        <v>2502243</v>
      </c>
      <c r="E10" s="9">
        <v>31.4</v>
      </c>
      <c r="F10" s="10">
        <v>89.110000000000014</v>
      </c>
      <c r="G10" s="10">
        <v>44.660000000000025</v>
      </c>
      <c r="H10" s="10">
        <v>50.117831893165764</v>
      </c>
    </row>
    <row r="11" spans="2:8" ht="18" x14ac:dyDescent="0.35">
      <c r="B11" s="7">
        <v>69</v>
      </c>
      <c r="C11" s="7" t="s">
        <v>4</v>
      </c>
      <c r="D11" s="8">
        <v>2502244</v>
      </c>
      <c r="E11" s="9">
        <v>34.700000000000003</v>
      </c>
      <c r="F11" s="10">
        <v>96.910000000000025</v>
      </c>
      <c r="G11" s="10">
        <v>45.53000000000003</v>
      </c>
      <c r="H11" s="10">
        <v>46.981735630997854</v>
      </c>
    </row>
    <row r="12" spans="2:8" ht="18" x14ac:dyDescent="0.35">
      <c r="B12" s="7">
        <v>4</v>
      </c>
      <c r="C12" s="7" t="s">
        <v>1</v>
      </c>
      <c r="D12" s="8">
        <v>2502245</v>
      </c>
      <c r="E12" s="9">
        <v>35.799999999999997</v>
      </c>
      <c r="F12" s="10">
        <v>100.46000000000004</v>
      </c>
      <c r="G12" s="10">
        <v>52.620000000000061</v>
      </c>
      <c r="H12" s="10">
        <v>52.379056340832221</v>
      </c>
    </row>
    <row r="13" spans="2:8" ht="18" x14ac:dyDescent="0.35">
      <c r="B13" s="7">
        <v>4</v>
      </c>
      <c r="C13" s="7" t="s">
        <v>2</v>
      </c>
      <c r="D13" s="8">
        <v>2502246</v>
      </c>
      <c r="E13" s="9">
        <v>33.4</v>
      </c>
      <c r="F13" s="10">
        <v>99.960000000000036</v>
      </c>
      <c r="G13" s="10">
        <v>49.78000000000003</v>
      </c>
      <c r="H13" s="10">
        <v>49.799919967987208</v>
      </c>
    </row>
    <row r="14" spans="2:8" ht="18" x14ac:dyDescent="0.35">
      <c r="B14" s="7">
        <v>3</v>
      </c>
      <c r="C14" s="7" t="s">
        <v>3</v>
      </c>
      <c r="D14" s="8">
        <v>2502247</v>
      </c>
      <c r="E14" s="9">
        <v>46.9</v>
      </c>
      <c r="F14" s="10">
        <v>107.94</v>
      </c>
      <c r="G14" s="10">
        <v>54.490000000000066</v>
      </c>
      <c r="H14" s="10">
        <v>50.481749119881478</v>
      </c>
    </row>
    <row r="15" spans="2:8" ht="18" x14ac:dyDescent="0.35">
      <c r="B15" s="7">
        <v>3</v>
      </c>
      <c r="C15" s="7" t="s">
        <v>4</v>
      </c>
      <c r="D15" s="8">
        <v>2502248</v>
      </c>
      <c r="E15" s="9">
        <v>55</v>
      </c>
      <c r="F15" s="10">
        <v>104.82</v>
      </c>
      <c r="G15" s="10">
        <v>54.519999999999982</v>
      </c>
      <c r="H15" s="10">
        <v>52.012974623163501</v>
      </c>
    </row>
    <row r="16" spans="2:8" ht="18" x14ac:dyDescent="0.35">
      <c r="B16" s="7">
        <v>26</v>
      </c>
      <c r="C16" s="7" t="s">
        <v>1</v>
      </c>
      <c r="D16" s="8">
        <v>2502249</v>
      </c>
      <c r="E16" s="9">
        <v>36.5</v>
      </c>
      <c r="F16" s="10">
        <v>87.860000000000014</v>
      </c>
      <c r="G16" s="10">
        <v>45.700000000000045</v>
      </c>
      <c r="H16" s="10">
        <v>52.01456863191445</v>
      </c>
    </row>
    <row r="17" spans="2:8" ht="18" x14ac:dyDescent="0.35">
      <c r="B17" s="7">
        <v>26</v>
      </c>
      <c r="C17" s="7" t="s">
        <v>2</v>
      </c>
      <c r="D17" s="8">
        <v>2502250</v>
      </c>
      <c r="E17" s="9">
        <v>44.7</v>
      </c>
      <c r="F17" s="10">
        <v>108.86000000000001</v>
      </c>
      <c r="G17" s="10">
        <v>56.329999999999984</v>
      </c>
      <c r="H17" s="10">
        <v>51.745361014146582</v>
      </c>
    </row>
    <row r="18" spans="2:8" ht="18" x14ac:dyDescent="0.35">
      <c r="B18" s="7">
        <v>66</v>
      </c>
      <c r="C18" s="7" t="s">
        <v>3</v>
      </c>
      <c r="D18" s="8">
        <v>2502251</v>
      </c>
      <c r="E18" s="9">
        <v>38.1</v>
      </c>
      <c r="F18" s="10">
        <v>115.75000000000006</v>
      </c>
      <c r="G18" s="10">
        <v>52.49</v>
      </c>
      <c r="H18" s="10">
        <v>45.347732181425471</v>
      </c>
    </row>
    <row r="19" spans="2:8" ht="18" x14ac:dyDescent="0.35">
      <c r="B19" s="7">
        <v>66</v>
      </c>
      <c r="C19" s="7" t="s">
        <v>4</v>
      </c>
      <c r="D19" s="8">
        <v>2502252</v>
      </c>
      <c r="E19" s="9">
        <v>33.9</v>
      </c>
      <c r="F19" s="10">
        <v>106.41000000000003</v>
      </c>
      <c r="G19" s="10">
        <v>52.690000000000055</v>
      </c>
      <c r="H19" s="10">
        <v>49.516022930175772</v>
      </c>
    </row>
    <row r="20" spans="2:8" ht="18" x14ac:dyDescent="0.35">
      <c r="B20" s="11"/>
      <c r="C20" s="11"/>
      <c r="D20" s="11"/>
      <c r="E20" s="11"/>
      <c r="F20" s="11"/>
      <c r="G20" s="11"/>
      <c r="H20" s="11"/>
    </row>
    <row r="21" spans="2:8" ht="18" x14ac:dyDescent="0.35">
      <c r="B21" s="11"/>
      <c r="C21" s="12" t="s">
        <v>13</v>
      </c>
      <c r="D21" s="12"/>
      <c r="E21" s="12"/>
      <c r="F21" s="12"/>
      <c r="G21" s="12"/>
      <c r="H21" s="11"/>
    </row>
    <row r="22" spans="2:8" ht="18" x14ac:dyDescent="0.35">
      <c r="B22" s="11"/>
      <c r="C22" s="12" t="s">
        <v>14</v>
      </c>
      <c r="D22" s="12"/>
      <c r="E22" s="12"/>
      <c r="F22" s="12"/>
      <c r="G22" s="12"/>
      <c r="H22" s="11"/>
    </row>
    <row r="23" spans="2:8" ht="18" x14ac:dyDescent="0.35">
      <c r="B23" s="11"/>
      <c r="C23" s="12" t="s">
        <v>15</v>
      </c>
      <c r="D23" s="12"/>
      <c r="E23" s="12"/>
      <c r="F23" s="12"/>
      <c r="G23" s="12"/>
      <c r="H23" s="11"/>
    </row>
    <row r="24" spans="2:8" ht="18" x14ac:dyDescent="0.35">
      <c r="B24" s="11"/>
      <c r="C24" s="12" t="s">
        <v>16</v>
      </c>
      <c r="D24" s="12"/>
      <c r="E24" s="12"/>
      <c r="F24" s="12"/>
      <c r="G24" s="12"/>
      <c r="H24" s="11"/>
    </row>
    <row r="25" spans="2:8" ht="18" x14ac:dyDescent="0.35">
      <c r="B25" s="11"/>
      <c r="C25" s="11"/>
      <c r="D25" s="11"/>
      <c r="E25" s="11"/>
      <c r="F25" s="11"/>
      <c r="G25" s="11"/>
      <c r="H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Grain</vt:lpstr>
      <vt:lpstr>Straw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Casandra Nicoleta Sabou</dc:creator>
  <cp:lastModifiedBy>Casandra Nicoleta Sabou</cp:lastModifiedBy>
  <cp:lastPrinted>2025-10-14T06:57:24Z</cp:lastPrinted>
  <dcterms:created xsi:type="dcterms:W3CDTF">2025-08-15T06:31:44Z</dcterms:created>
  <dcterms:modified xsi:type="dcterms:W3CDTF">2025-10-20T08:06:07Z</dcterms:modified>
</cp:coreProperties>
</file>