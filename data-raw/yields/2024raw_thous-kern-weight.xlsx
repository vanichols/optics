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7887_uni_au_dk/Documents/Documents/01_Projects/proj_PERPETUAL/"/>
    </mc:Choice>
  </mc:AlternateContent>
  <xr:revisionPtr revIDLastSave="19" documentId="8_{D7C35C84-522D-489C-8C31-83A9AD0462B7}" xr6:coauthVersionLast="47" xr6:coauthVersionMax="47" xr10:uidLastSave="{468353A1-B135-4850-89A6-485E231F1513}"/>
  <bookViews>
    <workbookView xWindow="31050" yWindow="5250" windowWidth="28800" windowHeight="15285" xr2:uid="{8644BEBE-1C37-49F5-9193-BFDBE300D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7" i="1"/>
  <c r="E8" i="1"/>
  <c r="E9" i="1"/>
  <c r="E10" i="1"/>
  <c r="E11" i="1"/>
  <c r="E12" i="1"/>
  <c r="E7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<sst xmlns="http://schemas.openxmlformats.org/spreadsheetml/2006/main" count="14" uniqueCount="10">
  <si>
    <t>Date collected: 9 Oct 2024</t>
  </si>
  <si>
    <t>Collected by: Gina</t>
  </si>
  <si>
    <t>What is it: Thousdand kernal weight of annual and perennial rye samples for semi-field and field trial</t>
  </si>
  <si>
    <t>rye_type</t>
  </si>
  <si>
    <t>seeds_nu</t>
  </si>
  <si>
    <t>weight_g</t>
  </si>
  <si>
    <t>ann</t>
  </si>
  <si>
    <t>per</t>
  </si>
  <si>
    <t>weight_g_seed</t>
  </si>
  <si>
    <t>tkw_g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</si>
</sst>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9B52-1675-4F1A-9846-50956FCE0671}">
  <dimension ref="A1:F12"/>
  <sheetViews>
    <sheetView tabSelected="1" workbookViewId="0">
      <selection activeCell="G10" sqref="G10"/>
    </sheetView>
  </sheetViews>
  <sheetFormatPr defaultRowHeight="14.4" x14ac:dyDescent="0.3"/>
  <cols>
    <col min="4" max="4" width="8" customWidth="1"/>
    <col min="6" max="6" width="7.88671875" bestFit="1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6" spans="1:6" x14ac:dyDescent="0.3">
      <c r="A6" t="s">
        <v>3</v>
      </c>
      <c r="B6" t="s">
        <v>4</v>
      </c>
      <c r="C6" t="s">
        <v>5</v>
      </c>
      <c r="D6" t="s">
        <v>8</v>
      </c>
      <c r="E6" t="s">
        <v>9</v>
      </c>
    </row>
    <row r="7" spans="1:6" x14ac:dyDescent="0.3">
      <c r="A7" t="s">
        <v>6</v>
      </c>
      <c r="B7">
        <v>1000</v>
      </c>
      <c r="C7">
        <v>41.56</v>
      </c>
      <c r="D7">
        <f>C7/B7</f>
        <v>4.156E-2</v>
      </c>
      <c r="E7">
        <f>D7*1000</f>
        <v>41.56</v>
      </c>
      <c r="F7">
        <f>AVERAGE(E7:E9)</f>
        <v>41.986666666666672</v>
      </c>
    </row>
    <row r="8" spans="1:6" x14ac:dyDescent="0.3">
      <c r="A8" t="s">
        <v>6</v>
      </c>
      <c r="B8">
        <v>250</v>
      </c>
      <c r="C8">
        <v>10.46</v>
      </c>
      <c r="D8">
        <f t="shared" ref="D8:D12" si="0">C8/B8</f>
        <v>4.1840000000000002E-2</v>
      </c>
      <c r="E8">
        <f t="shared" ref="E8:E12" si="1">D8*1000</f>
        <v>41.84</v>
      </c>
    </row>
    <row r="9" spans="1:6" x14ac:dyDescent="0.3">
      <c r="A9" t="s">
        <v>6</v>
      </c>
      <c r="B9">
        <v>250</v>
      </c>
      <c r="C9">
        <v>10.64</v>
      </c>
      <c r="D9">
        <f t="shared" si="0"/>
        <v>4.2560000000000001E-2</v>
      </c>
      <c r="E9">
        <f t="shared" si="1"/>
        <v>42.56</v>
      </c>
    </row>
    <row r="10" spans="1:6" x14ac:dyDescent="0.3">
      <c r="A10" t="s">
        <v>7</v>
      </c>
      <c r="B10">
        <v>250</v>
      </c>
      <c r="C10">
        <v>6.81</v>
      </c>
      <c r="D10">
        <f t="shared" si="0"/>
        <v>2.7239999999999997E-2</v>
      </c>
      <c r="E10">
        <f t="shared" si="1"/>
        <v>27.24</v>
      </c>
      <c r="F10">
        <f>AVERAGE(E10:E12)</f>
        <v>26.906666666666666</v>
      </c>
    </row>
    <row r="11" spans="1:6" x14ac:dyDescent="0.3">
      <c r="A11" t="s">
        <v>7</v>
      </c>
      <c r="B11">
        <v>250</v>
      </c>
      <c r="C11">
        <v>6.64</v>
      </c>
      <c r="D11">
        <f t="shared" si="0"/>
        <v>2.656E-2</v>
      </c>
      <c r="E11">
        <f t="shared" si="1"/>
        <v>26.56</v>
      </c>
    </row>
    <row r="12" spans="1:6" x14ac:dyDescent="0.3">
      <c r="A12" t="s">
        <v>7</v>
      </c>
      <c r="B12">
        <v>250</v>
      </c>
      <c r="C12">
        <v>6.73</v>
      </c>
      <c r="D12">
        <f t="shared" si="0"/>
        <v>2.6920000000000003E-2</v>
      </c>
      <c r="E12">
        <f t="shared" si="1"/>
        <v>26.92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2024-10-09T13:53:50Z</dcterms:created>
  <dcterms:modified xsi:type="dcterms:W3CDTF">2024-10-09T14:03:07Z</dcterms:modified>
</cp:coreProperties>
</file>