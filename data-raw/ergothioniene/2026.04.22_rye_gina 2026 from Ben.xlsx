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757887\PC_documents\_git-it\optics\data-raw\ergothioniene\"/>
    </mc:Choice>
  </mc:AlternateContent>
  <xr:revisionPtr revIDLastSave="0" documentId="8_{1E98B0FF-90CC-41B5-A22E-9E90F17814C9}" xr6:coauthVersionLast="47" xr6:coauthVersionMax="47" xr10:uidLastSave="{00000000-0000-0000-0000-000000000000}"/>
  <bookViews>
    <workbookView xWindow="-120" yWindow="-120" windowWidth="38640" windowHeight="21120" activeTab="2" xr2:uid="{659B0608-63FF-2F49-9E94-7ED4E58A758B}"/>
  </bookViews>
  <sheets>
    <sheet name="Analyst 260421 BL" sheetId="4" r:id="rId1"/>
    <sheet name="gina" sheetId="2" r:id="rId2"/>
    <sheet name="gina  final" sheetId="6" r:id="rId3"/>
    <sheet name="Ark1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6" l="1"/>
  <c r="M5" i="6" s="1"/>
  <c r="L10" i="6"/>
  <c r="M10" i="6" s="1"/>
  <c r="L11" i="6"/>
  <c r="M11" i="6" s="1"/>
  <c r="L13" i="6"/>
  <c r="M13" i="6" s="1"/>
  <c r="L6" i="6"/>
  <c r="M6" i="6" s="1"/>
  <c r="L18" i="6"/>
  <c r="M18" i="6" s="1"/>
  <c r="L7" i="6"/>
  <c r="M7" i="6" s="1"/>
  <c r="L4" i="6"/>
  <c r="M4" i="6" s="1"/>
  <c r="L12" i="6"/>
  <c r="M12" i="6" s="1"/>
  <c r="L9" i="6"/>
  <c r="M9" i="6" s="1"/>
  <c r="L14" i="6"/>
  <c r="M14" i="6" s="1"/>
  <c r="L16" i="6"/>
  <c r="M16" i="6" s="1"/>
  <c r="L3" i="6"/>
  <c r="M3" i="6" s="1"/>
  <c r="L15" i="6"/>
  <c r="M15" i="6" s="1"/>
  <c r="L17" i="6"/>
  <c r="M17" i="6" s="1"/>
  <c r="L8" i="6"/>
  <c r="M8" i="6" s="1"/>
  <c r="N4" i="2"/>
  <c r="N12" i="2"/>
  <c r="N15" i="2"/>
  <c r="N16" i="2"/>
  <c r="M16" i="2"/>
  <c r="M17" i="2"/>
  <c r="N17" i="2" s="1"/>
  <c r="M18" i="2"/>
  <c r="N18" i="2" s="1"/>
  <c r="M15" i="2"/>
  <c r="M10" i="2"/>
  <c r="N10" i="2" s="1"/>
  <c r="M11" i="2"/>
  <c r="N11" i="2" s="1"/>
  <c r="M12" i="2"/>
  <c r="M13" i="2"/>
  <c r="N13" i="2" s="1"/>
  <c r="M14" i="2"/>
  <c r="N14" i="2" s="1"/>
  <c r="M9" i="2"/>
  <c r="N9" i="2" s="1"/>
  <c r="M4" i="2"/>
  <c r="M5" i="2"/>
  <c r="N5" i="2" s="1"/>
  <c r="M6" i="2"/>
  <c r="N6" i="2" s="1"/>
  <c r="M7" i="2"/>
  <c r="N7" i="2" s="1"/>
  <c r="M8" i="2"/>
  <c r="N8" i="2" s="1"/>
  <c r="M3" i="2"/>
  <c r="N3" i="2" s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2" i="3"/>
</calcChain>
</file>

<file path=xl/sharedStrings.xml><?xml version="1.0" encoding="utf-8"?>
<sst xmlns="http://schemas.openxmlformats.org/spreadsheetml/2006/main" count="429" uniqueCount="138">
  <si>
    <t>26-0614</t>
  </si>
  <si>
    <t>26-0615</t>
  </si>
  <si>
    <t>26-0616</t>
  </si>
  <si>
    <t>26-0617</t>
  </si>
  <si>
    <t>26-0618</t>
  </si>
  <si>
    <t>26-0619</t>
  </si>
  <si>
    <t>26-0620</t>
  </si>
  <si>
    <t>26-0621</t>
  </si>
  <si>
    <t>26-0622</t>
  </si>
  <si>
    <t>26-0623</t>
  </si>
  <si>
    <t>26-0624</t>
  </si>
  <si>
    <t>26-0625</t>
  </si>
  <si>
    <t>26-0626</t>
  </si>
  <si>
    <t>26-0627</t>
  </si>
  <si>
    <t>26-0628</t>
  </si>
  <si>
    <t>26-0629</t>
  </si>
  <si>
    <t>26-0630</t>
  </si>
  <si>
    <t>26-0631</t>
  </si>
  <si>
    <t>26-0632</t>
  </si>
  <si>
    <t>26-0633</t>
  </si>
  <si>
    <t>26-0634</t>
  </si>
  <si>
    <t>26-0635</t>
  </si>
  <si>
    <t>26-0636</t>
  </si>
  <si>
    <t>26-0637</t>
  </si>
  <si>
    <t>26-0638</t>
  </si>
  <si>
    <t>26-0639</t>
  </si>
  <si>
    <t>26-0640</t>
  </si>
  <si>
    <t>26-0641</t>
  </si>
  <si>
    <t>26-0642</t>
  </si>
  <si>
    <t>26-0643</t>
  </si>
  <si>
    <t>26-0644</t>
  </si>
  <si>
    <t>26-0645</t>
  </si>
  <si>
    <t>Reg no.</t>
  </si>
  <si>
    <t>ben_sample_nu</t>
  </si>
  <si>
    <t>loc_au</t>
  </si>
  <si>
    <t>loc_id</t>
  </si>
  <si>
    <t>plot_id</t>
  </si>
  <si>
    <t>trt_id</t>
  </si>
  <si>
    <t>plot_half</t>
  </si>
  <si>
    <t>26-0598</t>
  </si>
  <si>
    <t>flakkebjerg</t>
  </si>
  <si>
    <t>sexy1</t>
  </si>
  <si>
    <t>p</t>
  </si>
  <si>
    <t>D</t>
  </si>
  <si>
    <t>26-0599</t>
  </si>
  <si>
    <t>Y</t>
  </si>
  <si>
    <t>26-0600</t>
  </si>
  <si>
    <t>a</t>
  </si>
  <si>
    <t>26-0601</t>
  </si>
  <si>
    <t>26-0602</t>
  </si>
  <si>
    <t>26-0603</t>
  </si>
  <si>
    <t>26-0604</t>
  </si>
  <si>
    <t>26-0605</t>
  </si>
  <si>
    <t>26-0606</t>
  </si>
  <si>
    <t>26-0607</t>
  </si>
  <si>
    <t>26-0608</t>
  </si>
  <si>
    <t>26-0609</t>
  </si>
  <si>
    <t>26-0610</t>
  </si>
  <si>
    <t>26-0611</t>
  </si>
  <si>
    <t>26-0612</t>
  </si>
  <si>
    <t>26-0613</t>
  </si>
  <si>
    <t>g sample</t>
  </si>
  <si>
    <t>10X</t>
  </si>
  <si>
    <t>fort</t>
  </si>
  <si>
    <t>_</t>
  </si>
  <si>
    <t>etiket</t>
  </si>
  <si>
    <t>Sample Name</t>
  </si>
  <si>
    <t>Ergothioneine_1</t>
  </si>
  <si>
    <t>0.095_ppb</t>
  </si>
  <si>
    <t>&lt; 0</t>
  </si>
  <si>
    <t>0.19_ppb</t>
  </si>
  <si>
    <t>0.39_ppb</t>
  </si>
  <si>
    <t>0.78_ppb</t>
  </si>
  <si>
    <t>1.56_ppb</t>
  </si>
  <si>
    <t>3.125_ppb</t>
  </si>
  <si>
    <t>6.25_ppb</t>
  </si>
  <si>
    <t>12.5_ppb</t>
  </si>
  <si>
    <t>25_ppb</t>
  </si>
  <si>
    <t>50_ppb</t>
  </si>
  <si>
    <t>100_ppb</t>
  </si>
  <si>
    <t>200_ppb</t>
  </si>
  <si>
    <t>400_ppb</t>
  </si>
  <si>
    <t>800_ppb</t>
  </si>
  <si>
    <t>Blank</t>
  </si>
  <si>
    <t>N/A</t>
  </si>
  <si>
    <t>1_26-0603_10X</t>
  </si>
  <si>
    <t>2_26-0612_10X</t>
  </si>
  <si>
    <t>3_26-0610_10X</t>
  </si>
  <si>
    <t>4_26-0598_10X</t>
  </si>
  <si>
    <t>5_26-0611_10X</t>
  </si>
  <si>
    <t>6_26-0609_10X</t>
  </si>
  <si>
    <t>7_26-0604_10X</t>
  </si>
  <si>
    <t>8_26-0607_10X</t>
  </si>
  <si>
    <t>9_26-0599_10X</t>
  </si>
  <si>
    <t>10_26-0602_10X</t>
  </si>
  <si>
    <t>11_26-0613_10X</t>
  </si>
  <si>
    <t>12_26-0601_10X</t>
  </si>
  <si>
    <t>13_26-0608_10X</t>
  </si>
  <si>
    <t>14_26-0606_10X</t>
  </si>
  <si>
    <t>15_26-0605_10X</t>
  </si>
  <si>
    <t>16_26-0600_10X</t>
  </si>
  <si>
    <t>17_26-0616_10X</t>
  </si>
  <si>
    <t>18_26-0645_10X</t>
  </si>
  <si>
    <t>19_26-0626_10X</t>
  </si>
  <si>
    <t>20_26-0617_10X</t>
  </si>
  <si>
    <t>21_26-0639_10X</t>
  </si>
  <si>
    <t>22_26-0636_10X</t>
  </si>
  <si>
    <t>23_26-0635_10X</t>
  </si>
  <si>
    <t>24_26-0618_10X</t>
  </si>
  <si>
    <t>25_26-0627_10X</t>
  </si>
  <si>
    <t>26_26-0638_10X</t>
  </si>
  <si>
    <t>27_26-0632_10X</t>
  </si>
  <si>
    <t>28_26-0621_10X</t>
  </si>
  <si>
    <t>29_26-0643_10X</t>
  </si>
  <si>
    <t>30_26-0623_10X</t>
  </si>
  <si>
    <t>31_26-0640_10X</t>
  </si>
  <si>
    <t>32_26-0644_10X</t>
  </si>
  <si>
    <t>33_26-0615_10X</t>
  </si>
  <si>
    <t>34_26-0629_10X</t>
  </si>
  <si>
    <t>35_26-0631_10X</t>
  </si>
  <si>
    <t>36_26-0619_10X</t>
  </si>
  <si>
    <t>37_26-0622_10X</t>
  </si>
  <si>
    <t>38_26-0620_10X</t>
  </si>
  <si>
    <t>39_26-0642_10X</t>
  </si>
  <si>
    <t>40_26-0641_10X</t>
  </si>
  <si>
    <t>41_26-0624_10X</t>
  </si>
  <si>
    <t>42_26-0637_10X</t>
  </si>
  <si>
    <t>43_26-0614_10X</t>
  </si>
  <si>
    <t>44_26-0625_10X</t>
  </si>
  <si>
    <t>45_26-0630_10X</t>
  </si>
  <si>
    <t>46_26-0634_10X</t>
  </si>
  <si>
    <t>47_26-0628_10X</t>
  </si>
  <si>
    <t>48_26-0633_10X</t>
  </si>
  <si>
    <t>Dilut</t>
  </si>
  <si>
    <t>Ml ekst.</t>
  </si>
  <si>
    <t>L-(+)-Ergothioneine</t>
  </si>
  <si>
    <t>ng/ml</t>
  </si>
  <si>
    <t>µg/g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</si>
</sst>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03A2C-0EE6-4E21-8213-AF75511E38EA}">
  <dimension ref="B1:C82"/>
  <sheetViews>
    <sheetView topLeftCell="A46" workbookViewId="0">
      <selection activeCell="C69" sqref="C69"/>
    </sheetView>
  </sheetViews>
  <sheetFormatPr defaultColWidth="8.875" defaultRowHeight="15.75" x14ac:dyDescent="0.25"/>
  <cols>
    <col min="2" max="2" width="14.375" bestFit="1" customWidth="1"/>
    <col min="3" max="3" width="14" customWidth="1"/>
  </cols>
  <sheetData>
    <row r="1" spans="2:3" x14ac:dyDescent="0.25">
      <c r="B1" t="s">
        <v>66</v>
      </c>
      <c r="C1" t="s">
        <v>67</v>
      </c>
    </row>
    <row r="2" spans="2:3" x14ac:dyDescent="0.25">
      <c r="B2" t="s">
        <v>68</v>
      </c>
      <c r="C2" t="s">
        <v>69</v>
      </c>
    </row>
    <row r="3" spans="2:3" x14ac:dyDescent="0.25">
      <c r="B3" t="s">
        <v>70</v>
      </c>
      <c r="C3" t="s">
        <v>69</v>
      </c>
    </row>
    <row r="4" spans="2:3" x14ac:dyDescent="0.25">
      <c r="B4" t="s">
        <v>71</v>
      </c>
      <c r="C4" t="s">
        <v>69</v>
      </c>
    </row>
    <row r="5" spans="2:3" x14ac:dyDescent="0.25">
      <c r="B5" t="s">
        <v>72</v>
      </c>
      <c r="C5">
        <v>0.253</v>
      </c>
    </row>
    <row r="6" spans="2:3" x14ac:dyDescent="0.25">
      <c r="B6" t="s">
        <v>73</v>
      </c>
      <c r="C6">
        <v>0.875</v>
      </c>
    </row>
    <row r="7" spans="2:3" x14ac:dyDescent="0.25">
      <c r="B7" t="s">
        <v>74</v>
      </c>
      <c r="C7">
        <v>2.23</v>
      </c>
    </row>
    <row r="8" spans="2:3" x14ac:dyDescent="0.25">
      <c r="B8" t="s">
        <v>75</v>
      </c>
      <c r="C8">
        <v>5.87</v>
      </c>
    </row>
    <row r="9" spans="2:3" x14ac:dyDescent="0.25">
      <c r="B9" t="s">
        <v>76</v>
      </c>
      <c r="C9">
        <v>11.6</v>
      </c>
    </row>
    <row r="10" spans="2:3" x14ac:dyDescent="0.25">
      <c r="B10" t="s">
        <v>77</v>
      </c>
      <c r="C10">
        <v>22.4</v>
      </c>
    </row>
    <row r="11" spans="2:3" x14ac:dyDescent="0.25">
      <c r="B11" t="s">
        <v>78</v>
      </c>
      <c r="C11">
        <v>46.2</v>
      </c>
    </row>
    <row r="12" spans="2:3" x14ac:dyDescent="0.25">
      <c r="B12" t="s">
        <v>79</v>
      </c>
      <c r="C12">
        <v>96.1</v>
      </c>
    </row>
    <row r="13" spans="2:3" x14ac:dyDescent="0.25">
      <c r="B13" t="s">
        <v>80</v>
      </c>
      <c r="C13">
        <v>190</v>
      </c>
    </row>
    <row r="14" spans="2:3" x14ac:dyDescent="0.25">
      <c r="B14" t="s">
        <v>81</v>
      </c>
      <c r="C14">
        <v>400</v>
      </c>
    </row>
    <row r="15" spans="2:3" x14ac:dyDescent="0.25">
      <c r="B15" t="s">
        <v>82</v>
      </c>
      <c r="C15">
        <v>820</v>
      </c>
    </row>
    <row r="16" spans="2:3" x14ac:dyDescent="0.25">
      <c r="B16" t="s">
        <v>83</v>
      </c>
      <c r="C16" t="s">
        <v>84</v>
      </c>
    </row>
    <row r="17" spans="2:3" x14ac:dyDescent="0.25">
      <c r="B17" t="s">
        <v>85</v>
      </c>
      <c r="C17">
        <v>32.4</v>
      </c>
    </row>
    <row r="18" spans="2:3" x14ac:dyDescent="0.25">
      <c r="B18" t="s">
        <v>86</v>
      </c>
      <c r="C18">
        <v>25.9</v>
      </c>
    </row>
    <row r="19" spans="2:3" x14ac:dyDescent="0.25">
      <c r="B19" t="s">
        <v>87</v>
      </c>
      <c r="C19">
        <v>16.7</v>
      </c>
    </row>
    <row r="20" spans="2:3" x14ac:dyDescent="0.25">
      <c r="B20" t="s">
        <v>88</v>
      </c>
      <c r="C20">
        <v>23.9</v>
      </c>
    </row>
    <row r="21" spans="2:3" x14ac:dyDescent="0.25">
      <c r="B21" t="s">
        <v>89</v>
      </c>
      <c r="C21">
        <v>32.1</v>
      </c>
    </row>
    <row r="22" spans="2:3" x14ac:dyDescent="0.25">
      <c r="B22" t="s">
        <v>90</v>
      </c>
      <c r="C22">
        <v>30.2</v>
      </c>
    </row>
    <row r="23" spans="2:3" x14ac:dyDescent="0.25">
      <c r="B23" t="s">
        <v>83</v>
      </c>
      <c r="C23" t="s">
        <v>84</v>
      </c>
    </row>
    <row r="24" spans="2:3" x14ac:dyDescent="0.25">
      <c r="B24" t="s">
        <v>77</v>
      </c>
      <c r="C24">
        <v>22.5</v>
      </c>
    </row>
    <row r="25" spans="2:3" x14ac:dyDescent="0.25">
      <c r="B25" t="s">
        <v>91</v>
      </c>
      <c r="C25">
        <v>63.5</v>
      </c>
    </row>
    <row r="26" spans="2:3" x14ac:dyDescent="0.25">
      <c r="B26" t="s">
        <v>92</v>
      </c>
      <c r="C26">
        <v>25.9</v>
      </c>
    </row>
    <row r="27" spans="2:3" x14ac:dyDescent="0.25">
      <c r="B27" t="s">
        <v>93</v>
      </c>
      <c r="C27">
        <v>36.9</v>
      </c>
    </row>
    <row r="28" spans="2:3" x14ac:dyDescent="0.25">
      <c r="B28" t="s">
        <v>94</v>
      </c>
      <c r="C28">
        <v>25.1</v>
      </c>
    </row>
    <row r="29" spans="2:3" x14ac:dyDescent="0.25">
      <c r="B29" t="s">
        <v>95</v>
      </c>
      <c r="C29">
        <v>25.6</v>
      </c>
    </row>
    <row r="30" spans="2:3" x14ac:dyDescent="0.25">
      <c r="B30" t="s">
        <v>96</v>
      </c>
      <c r="C30">
        <v>83.9</v>
      </c>
    </row>
    <row r="31" spans="2:3" x14ac:dyDescent="0.25">
      <c r="B31" t="s">
        <v>83</v>
      </c>
      <c r="C31" t="s">
        <v>84</v>
      </c>
    </row>
    <row r="32" spans="2:3" x14ac:dyDescent="0.25">
      <c r="B32" t="s">
        <v>77</v>
      </c>
      <c r="C32">
        <v>21.6</v>
      </c>
    </row>
    <row r="33" spans="2:3" x14ac:dyDescent="0.25">
      <c r="B33" t="s">
        <v>97</v>
      </c>
      <c r="C33">
        <v>30.4</v>
      </c>
    </row>
    <row r="34" spans="2:3" x14ac:dyDescent="0.25">
      <c r="B34" t="s">
        <v>98</v>
      </c>
      <c r="C34">
        <v>31.4</v>
      </c>
    </row>
    <row r="35" spans="2:3" x14ac:dyDescent="0.25">
      <c r="B35" t="s">
        <v>99</v>
      </c>
      <c r="C35">
        <v>38.1</v>
      </c>
    </row>
    <row r="36" spans="2:3" x14ac:dyDescent="0.25">
      <c r="B36" t="s">
        <v>100</v>
      </c>
      <c r="C36">
        <v>22.4</v>
      </c>
    </row>
    <row r="37" spans="2:3" x14ac:dyDescent="0.25">
      <c r="B37" t="s">
        <v>101</v>
      </c>
      <c r="C37">
        <v>19.100000000000001</v>
      </c>
    </row>
    <row r="38" spans="2:3" x14ac:dyDescent="0.25">
      <c r="B38" t="s">
        <v>102</v>
      </c>
      <c r="C38">
        <v>17.8</v>
      </c>
    </row>
    <row r="39" spans="2:3" x14ac:dyDescent="0.25">
      <c r="B39" t="s">
        <v>83</v>
      </c>
      <c r="C39" t="s">
        <v>84</v>
      </c>
    </row>
    <row r="40" spans="2:3" x14ac:dyDescent="0.25">
      <c r="B40" t="s">
        <v>77</v>
      </c>
      <c r="C40">
        <v>19.600000000000001</v>
      </c>
    </row>
    <row r="41" spans="2:3" x14ac:dyDescent="0.25">
      <c r="B41" t="s">
        <v>103</v>
      </c>
      <c r="C41">
        <v>23.2</v>
      </c>
    </row>
    <row r="42" spans="2:3" x14ac:dyDescent="0.25">
      <c r="B42" t="s">
        <v>104</v>
      </c>
      <c r="C42">
        <v>21.7</v>
      </c>
    </row>
    <row r="43" spans="2:3" x14ac:dyDescent="0.25">
      <c r="B43" t="s">
        <v>105</v>
      </c>
      <c r="C43">
        <v>12.6</v>
      </c>
    </row>
    <row r="44" spans="2:3" x14ac:dyDescent="0.25">
      <c r="B44" t="s">
        <v>106</v>
      </c>
      <c r="C44">
        <v>11.2</v>
      </c>
    </row>
    <row r="45" spans="2:3" x14ac:dyDescent="0.25">
      <c r="B45" t="s">
        <v>107</v>
      </c>
      <c r="C45">
        <v>16.899999999999999</v>
      </c>
    </row>
    <row r="46" spans="2:3" x14ac:dyDescent="0.25">
      <c r="B46" t="s">
        <v>108</v>
      </c>
      <c r="C46">
        <v>11.4</v>
      </c>
    </row>
    <row r="47" spans="2:3" x14ac:dyDescent="0.25">
      <c r="B47" t="s">
        <v>83</v>
      </c>
      <c r="C47" t="s">
        <v>84</v>
      </c>
    </row>
    <row r="48" spans="2:3" x14ac:dyDescent="0.25">
      <c r="B48" t="s">
        <v>77</v>
      </c>
      <c r="C48">
        <v>21.1</v>
      </c>
    </row>
    <row r="49" spans="2:3" x14ac:dyDescent="0.25">
      <c r="B49" t="s">
        <v>109</v>
      </c>
      <c r="C49">
        <v>16.899999999999999</v>
      </c>
    </row>
    <row r="50" spans="2:3" x14ac:dyDescent="0.25">
      <c r="B50" t="s">
        <v>110</v>
      </c>
      <c r="C50">
        <v>16.899999999999999</v>
      </c>
    </row>
    <row r="51" spans="2:3" x14ac:dyDescent="0.25">
      <c r="B51" t="s">
        <v>111</v>
      </c>
      <c r="C51">
        <v>12.7</v>
      </c>
    </row>
    <row r="52" spans="2:3" x14ac:dyDescent="0.25">
      <c r="B52" t="s">
        <v>112</v>
      </c>
      <c r="C52">
        <v>23.2</v>
      </c>
    </row>
    <row r="53" spans="2:3" x14ac:dyDescent="0.25">
      <c r="B53" t="s">
        <v>113</v>
      </c>
      <c r="C53">
        <v>13.8</v>
      </c>
    </row>
    <row r="54" spans="2:3" x14ac:dyDescent="0.25">
      <c r="B54" t="s">
        <v>114</v>
      </c>
      <c r="C54">
        <v>16.3</v>
      </c>
    </row>
    <row r="55" spans="2:3" x14ac:dyDescent="0.25">
      <c r="B55" t="s">
        <v>83</v>
      </c>
      <c r="C55" t="s">
        <v>84</v>
      </c>
    </row>
    <row r="56" spans="2:3" x14ac:dyDescent="0.25">
      <c r="B56" t="s">
        <v>77</v>
      </c>
      <c r="C56">
        <v>21</v>
      </c>
    </row>
    <row r="57" spans="2:3" x14ac:dyDescent="0.25">
      <c r="B57" t="s">
        <v>115</v>
      </c>
      <c r="C57">
        <v>15</v>
      </c>
    </row>
    <row r="58" spans="2:3" x14ac:dyDescent="0.25">
      <c r="B58" t="s">
        <v>116</v>
      </c>
      <c r="C58">
        <v>21.9</v>
      </c>
    </row>
    <row r="59" spans="2:3" x14ac:dyDescent="0.25">
      <c r="B59" t="s">
        <v>117</v>
      </c>
      <c r="C59">
        <v>10.5</v>
      </c>
    </row>
    <row r="60" spans="2:3" x14ac:dyDescent="0.25">
      <c r="B60" t="s">
        <v>118</v>
      </c>
      <c r="C60">
        <v>13</v>
      </c>
    </row>
    <row r="61" spans="2:3" x14ac:dyDescent="0.25">
      <c r="B61" t="s">
        <v>119</v>
      </c>
      <c r="C61">
        <v>14.2</v>
      </c>
    </row>
    <row r="62" spans="2:3" x14ac:dyDescent="0.25">
      <c r="B62" t="s">
        <v>120</v>
      </c>
      <c r="C62">
        <v>18.2</v>
      </c>
    </row>
    <row r="63" spans="2:3" x14ac:dyDescent="0.25">
      <c r="B63" t="s">
        <v>83</v>
      </c>
      <c r="C63" t="s">
        <v>84</v>
      </c>
    </row>
    <row r="64" spans="2:3" x14ac:dyDescent="0.25">
      <c r="B64" t="s">
        <v>121</v>
      </c>
      <c r="C64">
        <v>11.6</v>
      </c>
    </row>
    <row r="65" spans="2:3" x14ac:dyDescent="0.25">
      <c r="B65" t="s">
        <v>122</v>
      </c>
      <c r="C65">
        <v>18.5</v>
      </c>
    </row>
    <row r="66" spans="2:3" x14ac:dyDescent="0.25">
      <c r="B66" t="s">
        <v>123</v>
      </c>
      <c r="C66">
        <v>26.8</v>
      </c>
    </row>
    <row r="67" spans="2:3" x14ac:dyDescent="0.25">
      <c r="B67" t="s">
        <v>124</v>
      </c>
      <c r="C67">
        <v>14.7</v>
      </c>
    </row>
    <row r="68" spans="2:3" x14ac:dyDescent="0.25">
      <c r="B68" t="s">
        <v>125</v>
      </c>
      <c r="C68">
        <v>10</v>
      </c>
    </row>
    <row r="69" spans="2:3" x14ac:dyDescent="0.25">
      <c r="B69" t="s">
        <v>126</v>
      </c>
      <c r="C69">
        <v>17.5</v>
      </c>
    </row>
    <row r="70" spans="2:3" x14ac:dyDescent="0.25">
      <c r="B70" t="s">
        <v>127</v>
      </c>
      <c r="C70">
        <v>17.600000000000001</v>
      </c>
    </row>
    <row r="71" spans="2:3" x14ac:dyDescent="0.25">
      <c r="B71" t="s">
        <v>83</v>
      </c>
      <c r="C71">
        <v>0</v>
      </c>
    </row>
    <row r="72" spans="2:3" x14ac:dyDescent="0.25">
      <c r="B72" t="s">
        <v>128</v>
      </c>
      <c r="C72">
        <v>12.3</v>
      </c>
    </row>
    <row r="73" spans="2:3" x14ac:dyDescent="0.25">
      <c r="B73" t="s">
        <v>129</v>
      </c>
      <c r="C73">
        <v>14.3</v>
      </c>
    </row>
    <row r="74" spans="2:3" x14ac:dyDescent="0.25">
      <c r="B74" t="s">
        <v>130</v>
      </c>
      <c r="C74">
        <v>17.5</v>
      </c>
    </row>
    <row r="75" spans="2:3" x14ac:dyDescent="0.25">
      <c r="B75" t="s">
        <v>131</v>
      </c>
      <c r="C75">
        <v>19.2</v>
      </c>
    </row>
    <row r="76" spans="2:3" x14ac:dyDescent="0.25">
      <c r="B76" t="s">
        <v>132</v>
      </c>
      <c r="C76">
        <v>17.5</v>
      </c>
    </row>
    <row r="77" spans="2:3" x14ac:dyDescent="0.25">
      <c r="B77" t="s">
        <v>83</v>
      </c>
      <c r="C77">
        <v>0</v>
      </c>
    </row>
    <row r="78" spans="2:3" x14ac:dyDescent="0.25">
      <c r="B78" t="s">
        <v>77</v>
      </c>
      <c r="C78">
        <v>20.100000000000001</v>
      </c>
    </row>
    <row r="79" spans="2:3" x14ac:dyDescent="0.25">
      <c r="B79" t="s">
        <v>74</v>
      </c>
      <c r="C79">
        <v>2.4900000000000002</v>
      </c>
    </row>
    <row r="80" spans="2:3" x14ac:dyDescent="0.25">
      <c r="B80" t="s">
        <v>75</v>
      </c>
      <c r="C80">
        <v>5.05</v>
      </c>
    </row>
    <row r="81" spans="2:3" x14ac:dyDescent="0.25">
      <c r="B81" t="s">
        <v>76</v>
      </c>
      <c r="C81">
        <v>11.8</v>
      </c>
    </row>
    <row r="82" spans="2:3" x14ac:dyDescent="0.25">
      <c r="B82" t="s">
        <v>73</v>
      </c>
      <c r="C82">
        <v>0.82099999999999995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DA1C0-08BF-4BF8-8BE0-B41AE1326CCC}">
  <dimension ref="A1:N42"/>
  <sheetViews>
    <sheetView workbookViewId="0">
      <selection activeCell="K1" sqref="K1:N2"/>
    </sheetView>
  </sheetViews>
  <sheetFormatPr defaultColWidth="8.875" defaultRowHeight="15.75" x14ac:dyDescent="0.25"/>
  <cols>
    <col min="1" max="1" width="9" style="1"/>
    <col min="3" max="3" width="13.625" bestFit="1" customWidth="1"/>
    <col min="4" max="4" width="13.125" customWidth="1"/>
    <col min="5" max="5" width="10.375" customWidth="1"/>
  </cols>
  <sheetData>
    <row r="1" spans="1:14" x14ac:dyDescent="0.25">
      <c r="M1" s="11" t="s">
        <v>135</v>
      </c>
      <c r="N1" s="11"/>
    </row>
    <row r="2" spans="1:14" s="6" customFormat="1" x14ac:dyDescent="0.25">
      <c r="A2" s="4"/>
      <c r="B2" s="3" t="s">
        <v>32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37</v>
      </c>
      <c r="H2" s="4" t="s">
        <v>38</v>
      </c>
      <c r="I2" s="15" t="s">
        <v>61</v>
      </c>
      <c r="J2" s="15"/>
      <c r="K2" s="3" t="s">
        <v>133</v>
      </c>
      <c r="L2" s="3" t="s">
        <v>134</v>
      </c>
      <c r="M2" s="8" t="s">
        <v>136</v>
      </c>
      <c r="N2" s="8" t="s">
        <v>137</v>
      </c>
    </row>
    <row r="3" spans="1:14" x14ac:dyDescent="0.25">
      <c r="A3" s="5">
        <v>1</v>
      </c>
      <c r="B3" s="2" t="s">
        <v>50</v>
      </c>
      <c r="C3" s="5">
        <v>6</v>
      </c>
      <c r="D3" s="5" t="s">
        <v>40</v>
      </c>
      <c r="E3" s="5" t="s">
        <v>41</v>
      </c>
      <c r="F3" s="5">
        <v>202</v>
      </c>
      <c r="G3" s="5" t="s">
        <v>47</v>
      </c>
      <c r="H3" s="5" t="s">
        <v>45</v>
      </c>
      <c r="I3" s="14">
        <v>2.5000000000000001E-2</v>
      </c>
      <c r="J3" s="14"/>
      <c r="K3" s="2">
        <v>10</v>
      </c>
      <c r="L3" s="2">
        <v>2</v>
      </c>
      <c r="M3" s="2">
        <f>'Analyst 260421 BL'!C17</f>
        <v>32.4</v>
      </c>
      <c r="N3" s="9">
        <f>M3*K3*L3/(I3*1000)</f>
        <v>25.92</v>
      </c>
    </row>
    <row r="4" spans="1:14" x14ac:dyDescent="0.25">
      <c r="A4" s="5">
        <v>2</v>
      </c>
      <c r="B4" s="2" t="s">
        <v>59</v>
      </c>
      <c r="C4" s="5">
        <v>15</v>
      </c>
      <c r="D4" s="5" t="s">
        <v>40</v>
      </c>
      <c r="E4" s="5" t="s">
        <v>41</v>
      </c>
      <c r="F4" s="5">
        <v>412</v>
      </c>
      <c r="G4" s="5" t="s">
        <v>47</v>
      </c>
      <c r="H4" s="5" t="s">
        <v>43</v>
      </c>
      <c r="I4" s="14">
        <v>2.5000000000000001E-2</v>
      </c>
      <c r="J4" s="14"/>
      <c r="K4" s="2">
        <v>10</v>
      </c>
      <c r="L4" s="2">
        <v>2</v>
      </c>
      <c r="M4" s="2">
        <f>'Analyst 260421 BL'!C18</f>
        <v>25.9</v>
      </c>
      <c r="N4" s="9">
        <f t="shared" ref="N4:N18" si="0">(M4*K4*L4)/(I4*1000)</f>
        <v>20.72</v>
      </c>
    </row>
    <row r="5" spans="1:14" x14ac:dyDescent="0.25">
      <c r="A5" s="5">
        <v>3</v>
      </c>
      <c r="B5" s="2" t="s">
        <v>57</v>
      </c>
      <c r="C5" s="5">
        <v>13</v>
      </c>
      <c r="D5" s="5" t="s">
        <v>40</v>
      </c>
      <c r="E5" s="5" t="s">
        <v>41</v>
      </c>
      <c r="F5" s="5">
        <v>405</v>
      </c>
      <c r="G5" s="5" t="s">
        <v>42</v>
      </c>
      <c r="H5" s="5" t="s">
        <v>43</v>
      </c>
      <c r="I5" s="14">
        <v>2.4899999999999999E-2</v>
      </c>
      <c r="J5" s="14"/>
      <c r="K5" s="2">
        <v>10</v>
      </c>
      <c r="L5" s="2">
        <v>2</v>
      </c>
      <c r="M5" s="2">
        <f>'Analyst 260421 BL'!C19</f>
        <v>16.7</v>
      </c>
      <c r="N5" s="9">
        <f t="shared" si="0"/>
        <v>13.413654618473897</v>
      </c>
    </row>
    <row r="6" spans="1:14" x14ac:dyDescent="0.25">
      <c r="A6" s="5">
        <v>4</v>
      </c>
      <c r="B6" s="2" t="s">
        <v>39</v>
      </c>
      <c r="C6" s="5">
        <v>1</v>
      </c>
      <c r="D6" s="5" t="s">
        <v>40</v>
      </c>
      <c r="E6" s="5" t="s">
        <v>41</v>
      </c>
      <c r="F6" s="5">
        <v>101</v>
      </c>
      <c r="G6" s="5" t="s">
        <v>42</v>
      </c>
      <c r="H6" s="5" t="s">
        <v>43</v>
      </c>
      <c r="I6" s="14">
        <v>2.4799999999999999E-2</v>
      </c>
      <c r="J6" s="14"/>
      <c r="K6" s="2">
        <v>10</v>
      </c>
      <c r="L6" s="2">
        <v>2</v>
      </c>
      <c r="M6" s="2">
        <f>'Analyst 260421 BL'!C20</f>
        <v>23.9</v>
      </c>
      <c r="N6" s="9">
        <f t="shared" si="0"/>
        <v>19.274193548387096</v>
      </c>
    </row>
    <row r="7" spans="1:14" x14ac:dyDescent="0.25">
      <c r="A7" s="5">
        <v>5</v>
      </c>
      <c r="B7" s="2" t="s">
        <v>58</v>
      </c>
      <c r="C7" s="5">
        <v>14</v>
      </c>
      <c r="D7" s="5" t="s">
        <v>40</v>
      </c>
      <c r="E7" s="5" t="s">
        <v>41</v>
      </c>
      <c r="F7" s="5">
        <v>405</v>
      </c>
      <c r="G7" s="5" t="s">
        <v>42</v>
      </c>
      <c r="H7" s="5" t="s">
        <v>45</v>
      </c>
      <c r="I7" s="14">
        <v>2.5000000000000001E-2</v>
      </c>
      <c r="J7" s="14"/>
      <c r="K7" s="2">
        <v>10</v>
      </c>
      <c r="L7" s="2">
        <v>2</v>
      </c>
      <c r="M7" s="2">
        <f>'Analyst 260421 BL'!C21</f>
        <v>32.1</v>
      </c>
      <c r="N7" s="9">
        <f t="shared" si="0"/>
        <v>25.68</v>
      </c>
    </row>
    <row r="8" spans="1:14" x14ac:dyDescent="0.25">
      <c r="A8" s="5">
        <v>6</v>
      </c>
      <c r="B8" s="2" t="s">
        <v>56</v>
      </c>
      <c r="C8" s="5">
        <v>12</v>
      </c>
      <c r="D8" s="5" t="s">
        <v>40</v>
      </c>
      <c r="E8" s="5" t="s">
        <v>41</v>
      </c>
      <c r="F8" s="5">
        <v>311</v>
      </c>
      <c r="G8" s="5" t="s">
        <v>42</v>
      </c>
      <c r="H8" s="5" t="s">
        <v>45</v>
      </c>
      <c r="I8" s="14">
        <v>2.5700000000000001E-2</v>
      </c>
      <c r="J8" s="14"/>
      <c r="K8" s="2">
        <v>10</v>
      </c>
      <c r="L8" s="2">
        <v>2</v>
      </c>
      <c r="M8" s="2">
        <f>'Analyst 260421 BL'!C22</f>
        <v>30.2</v>
      </c>
      <c r="N8" s="9">
        <f t="shared" si="0"/>
        <v>23.501945525291831</v>
      </c>
    </row>
    <row r="9" spans="1:14" x14ac:dyDescent="0.25">
      <c r="A9" s="5">
        <v>7</v>
      </c>
      <c r="B9" s="2" t="s">
        <v>51</v>
      </c>
      <c r="C9" s="5">
        <v>7</v>
      </c>
      <c r="D9" s="5" t="s">
        <v>40</v>
      </c>
      <c r="E9" s="5" t="s">
        <v>41</v>
      </c>
      <c r="F9" s="5">
        <v>209</v>
      </c>
      <c r="G9" s="5" t="s">
        <v>42</v>
      </c>
      <c r="H9" s="5" t="s">
        <v>43</v>
      </c>
      <c r="I9" s="14">
        <v>2.5499999999999998E-2</v>
      </c>
      <c r="J9" s="14"/>
      <c r="K9" s="2">
        <v>10</v>
      </c>
      <c r="L9" s="2">
        <v>2</v>
      </c>
      <c r="M9" s="2">
        <f>'Analyst 260421 BL'!C25</f>
        <v>63.5</v>
      </c>
      <c r="N9" s="9">
        <f t="shared" si="0"/>
        <v>49.803921568627452</v>
      </c>
    </row>
    <row r="10" spans="1:14" x14ac:dyDescent="0.25">
      <c r="A10" s="5">
        <v>8</v>
      </c>
      <c r="B10" s="2" t="s">
        <v>54</v>
      </c>
      <c r="C10" s="5">
        <v>10</v>
      </c>
      <c r="D10" s="5" t="s">
        <v>40</v>
      </c>
      <c r="E10" s="5" t="s">
        <v>41</v>
      </c>
      <c r="F10" s="5">
        <v>307</v>
      </c>
      <c r="G10" s="5" t="s">
        <v>47</v>
      </c>
      <c r="H10" s="5" t="s">
        <v>45</v>
      </c>
      <c r="I10" s="14">
        <v>2.5499999999999998E-2</v>
      </c>
      <c r="J10" s="14"/>
      <c r="K10" s="2">
        <v>10</v>
      </c>
      <c r="L10" s="2">
        <v>2</v>
      </c>
      <c r="M10" s="2">
        <f>'Analyst 260421 BL'!C26</f>
        <v>25.9</v>
      </c>
      <c r="N10" s="9">
        <f t="shared" si="0"/>
        <v>20.313725490196077</v>
      </c>
    </row>
    <row r="11" spans="1:14" x14ac:dyDescent="0.25">
      <c r="A11" s="5">
        <v>9</v>
      </c>
      <c r="B11" s="2" t="s">
        <v>44</v>
      </c>
      <c r="C11" s="5">
        <v>2</v>
      </c>
      <c r="D11" s="5" t="s">
        <v>40</v>
      </c>
      <c r="E11" s="5" t="s">
        <v>41</v>
      </c>
      <c r="F11" s="5">
        <v>101</v>
      </c>
      <c r="G11" s="5" t="s">
        <v>42</v>
      </c>
      <c r="H11" s="5" t="s">
        <v>45</v>
      </c>
      <c r="I11" s="14">
        <v>2.4500000000000001E-2</v>
      </c>
      <c r="J11" s="14"/>
      <c r="K11" s="2">
        <v>10</v>
      </c>
      <c r="L11" s="2">
        <v>2</v>
      </c>
      <c r="M11" s="2">
        <f>'Analyst 260421 BL'!C27</f>
        <v>36.9</v>
      </c>
      <c r="N11" s="9">
        <f t="shared" si="0"/>
        <v>30.122448979591837</v>
      </c>
    </row>
    <row r="12" spans="1:14" x14ac:dyDescent="0.25">
      <c r="A12" s="5">
        <v>10</v>
      </c>
      <c r="B12" s="2" t="s">
        <v>49</v>
      </c>
      <c r="C12" s="5">
        <v>5</v>
      </c>
      <c r="D12" s="5" t="s">
        <v>40</v>
      </c>
      <c r="E12" s="5" t="s">
        <v>41</v>
      </c>
      <c r="F12" s="5">
        <v>202</v>
      </c>
      <c r="G12" s="5" t="s">
        <v>47</v>
      </c>
      <c r="H12" s="5" t="s">
        <v>43</v>
      </c>
      <c r="I12" s="14">
        <v>2.4500000000000001E-2</v>
      </c>
      <c r="J12" s="14"/>
      <c r="K12" s="2">
        <v>10</v>
      </c>
      <c r="L12" s="2">
        <v>2</v>
      </c>
      <c r="M12" s="2">
        <f>'Analyst 260421 BL'!C28</f>
        <v>25.1</v>
      </c>
      <c r="N12" s="9">
        <f t="shared" si="0"/>
        <v>20.489795918367346</v>
      </c>
    </row>
    <row r="13" spans="1:14" x14ac:dyDescent="0.25">
      <c r="A13" s="5">
        <v>11</v>
      </c>
      <c r="B13" s="2" t="s">
        <v>60</v>
      </c>
      <c r="C13" s="5">
        <v>16</v>
      </c>
      <c r="D13" s="5" t="s">
        <v>40</v>
      </c>
      <c r="E13" s="5" t="s">
        <v>41</v>
      </c>
      <c r="F13" s="5">
        <v>412</v>
      </c>
      <c r="G13" s="5" t="s">
        <v>47</v>
      </c>
      <c r="H13" s="5" t="s">
        <v>45</v>
      </c>
      <c r="I13" s="14">
        <v>2.47E-2</v>
      </c>
      <c r="J13" s="14"/>
      <c r="K13" s="2">
        <v>10</v>
      </c>
      <c r="L13" s="2">
        <v>2</v>
      </c>
      <c r="M13" s="2">
        <f>'Analyst 260421 BL'!C29</f>
        <v>25.6</v>
      </c>
      <c r="N13" s="9">
        <f t="shared" si="0"/>
        <v>20.728744939271255</v>
      </c>
    </row>
    <row r="14" spans="1:14" x14ac:dyDescent="0.25">
      <c r="A14" s="5">
        <v>12</v>
      </c>
      <c r="B14" s="2" t="s">
        <v>48</v>
      </c>
      <c r="C14" s="5">
        <v>4</v>
      </c>
      <c r="D14" s="5" t="s">
        <v>40</v>
      </c>
      <c r="E14" s="5" t="s">
        <v>41</v>
      </c>
      <c r="F14" s="5">
        <v>105</v>
      </c>
      <c r="G14" s="5" t="s">
        <v>47</v>
      </c>
      <c r="H14" s="5" t="s">
        <v>45</v>
      </c>
      <c r="I14" s="14">
        <v>2.4799999999999999E-2</v>
      </c>
      <c r="J14" s="14"/>
      <c r="K14" s="2">
        <v>10</v>
      </c>
      <c r="L14" s="2">
        <v>2</v>
      </c>
      <c r="M14" s="2">
        <f>'Analyst 260421 BL'!C30</f>
        <v>83.9</v>
      </c>
      <c r="N14" s="9">
        <f t="shared" si="0"/>
        <v>67.661290322580641</v>
      </c>
    </row>
    <row r="15" spans="1:14" x14ac:dyDescent="0.25">
      <c r="A15" s="5">
        <v>13</v>
      </c>
      <c r="B15" s="2" t="s">
        <v>55</v>
      </c>
      <c r="C15" s="5">
        <v>11</v>
      </c>
      <c r="D15" s="5" t="s">
        <v>40</v>
      </c>
      <c r="E15" s="5" t="s">
        <v>41</v>
      </c>
      <c r="F15" s="5">
        <v>311</v>
      </c>
      <c r="G15" s="5" t="s">
        <v>42</v>
      </c>
      <c r="H15" s="5" t="s">
        <v>43</v>
      </c>
      <c r="I15" s="14">
        <v>2.5399999999999999E-2</v>
      </c>
      <c r="J15" s="14"/>
      <c r="K15" s="2">
        <v>10</v>
      </c>
      <c r="L15" s="2">
        <v>2</v>
      </c>
      <c r="M15" s="2">
        <f>'Analyst 260421 BL'!C33</f>
        <v>30.4</v>
      </c>
      <c r="N15" s="9">
        <f t="shared" si="0"/>
        <v>23.937007874015748</v>
      </c>
    </row>
    <row r="16" spans="1:14" x14ac:dyDescent="0.25">
      <c r="A16" s="5">
        <v>14</v>
      </c>
      <c r="B16" s="2" t="s">
        <v>53</v>
      </c>
      <c r="C16" s="5">
        <v>9</v>
      </c>
      <c r="D16" s="5" t="s">
        <v>40</v>
      </c>
      <c r="E16" s="5" t="s">
        <v>41</v>
      </c>
      <c r="F16" s="5">
        <v>307</v>
      </c>
      <c r="G16" s="5" t="s">
        <v>47</v>
      </c>
      <c r="H16" s="5" t="s">
        <v>43</v>
      </c>
      <c r="I16" s="14">
        <v>2.5899999999999999E-2</v>
      </c>
      <c r="J16" s="14"/>
      <c r="K16" s="2">
        <v>10</v>
      </c>
      <c r="L16" s="2">
        <v>2</v>
      </c>
      <c r="M16" s="2">
        <f>'Analyst 260421 BL'!C34</f>
        <v>31.4</v>
      </c>
      <c r="N16" s="9">
        <f t="shared" si="0"/>
        <v>24.24710424710425</v>
      </c>
    </row>
    <row r="17" spans="1:14" x14ac:dyDescent="0.25">
      <c r="A17" s="5">
        <v>15</v>
      </c>
      <c r="B17" s="2" t="s">
        <v>52</v>
      </c>
      <c r="C17" s="5">
        <v>8</v>
      </c>
      <c r="D17" s="5" t="s">
        <v>40</v>
      </c>
      <c r="E17" s="5" t="s">
        <v>41</v>
      </c>
      <c r="F17" s="5">
        <v>209</v>
      </c>
      <c r="G17" s="5" t="s">
        <v>42</v>
      </c>
      <c r="H17" s="5" t="s">
        <v>45</v>
      </c>
      <c r="I17" s="14">
        <v>2.4799999999999999E-2</v>
      </c>
      <c r="J17" s="14"/>
      <c r="K17" s="2">
        <v>10</v>
      </c>
      <c r="L17" s="2">
        <v>2</v>
      </c>
      <c r="M17" s="2">
        <f>'Analyst 260421 BL'!C35</f>
        <v>38.1</v>
      </c>
      <c r="N17" s="9">
        <f t="shared" si="0"/>
        <v>30.725806451612904</v>
      </c>
    </row>
    <row r="18" spans="1:14" x14ac:dyDescent="0.25">
      <c r="A18" s="5">
        <v>16</v>
      </c>
      <c r="B18" s="2" t="s">
        <v>46</v>
      </c>
      <c r="C18" s="5">
        <v>3</v>
      </c>
      <c r="D18" s="5" t="s">
        <v>40</v>
      </c>
      <c r="E18" s="5" t="s">
        <v>41</v>
      </c>
      <c r="F18" s="5">
        <v>105</v>
      </c>
      <c r="G18" s="5" t="s">
        <v>47</v>
      </c>
      <c r="H18" s="5" t="s">
        <v>43</v>
      </c>
      <c r="I18" s="14">
        <v>2.47E-2</v>
      </c>
      <c r="J18" s="14"/>
      <c r="K18" s="2">
        <v>10</v>
      </c>
      <c r="L18" s="2">
        <v>2</v>
      </c>
      <c r="M18" s="2">
        <f>'Analyst 260421 BL'!C36</f>
        <v>22.4</v>
      </c>
      <c r="N18" s="9">
        <f t="shared" si="0"/>
        <v>18.137651821862349</v>
      </c>
    </row>
    <row r="26" spans="1:14" x14ac:dyDescent="0.25">
      <c r="A26" s="10"/>
      <c r="B26" s="6"/>
      <c r="C26" s="13"/>
      <c r="D26" s="13"/>
    </row>
    <row r="27" spans="1:14" x14ac:dyDescent="0.25">
      <c r="C27" s="12"/>
      <c r="D27" s="12"/>
    </row>
    <row r="28" spans="1:14" x14ac:dyDescent="0.25">
      <c r="C28" s="12"/>
      <c r="D28" s="12"/>
    </row>
    <row r="29" spans="1:14" x14ac:dyDescent="0.25">
      <c r="C29" s="12"/>
      <c r="D29" s="12"/>
    </row>
    <row r="30" spans="1:14" x14ac:dyDescent="0.25">
      <c r="C30" s="12"/>
      <c r="D30" s="12"/>
    </row>
    <row r="31" spans="1:14" x14ac:dyDescent="0.25">
      <c r="C31" s="12"/>
      <c r="D31" s="12"/>
    </row>
    <row r="32" spans="1:14" x14ac:dyDescent="0.25">
      <c r="C32" s="12"/>
      <c r="D32" s="12"/>
    </row>
    <row r="33" spans="3:4" x14ac:dyDescent="0.25">
      <c r="C33" s="12"/>
      <c r="D33" s="12"/>
    </row>
    <row r="34" spans="3:4" x14ac:dyDescent="0.25">
      <c r="C34" s="12"/>
      <c r="D34" s="12"/>
    </row>
    <row r="35" spans="3:4" x14ac:dyDescent="0.25">
      <c r="C35" s="12"/>
      <c r="D35" s="12"/>
    </row>
    <row r="36" spans="3:4" x14ac:dyDescent="0.25">
      <c r="C36" s="12"/>
      <c r="D36" s="12"/>
    </row>
    <row r="37" spans="3:4" x14ac:dyDescent="0.25">
      <c r="C37" s="12"/>
      <c r="D37" s="12"/>
    </row>
    <row r="38" spans="3:4" x14ac:dyDescent="0.25">
      <c r="C38" s="12"/>
      <c r="D38" s="12"/>
    </row>
    <row r="39" spans="3:4" x14ac:dyDescent="0.25">
      <c r="C39" s="12"/>
      <c r="D39" s="12"/>
    </row>
    <row r="40" spans="3:4" x14ac:dyDescent="0.25">
      <c r="C40" s="12"/>
      <c r="D40" s="12"/>
    </row>
    <row r="41" spans="3:4" x14ac:dyDescent="0.25">
      <c r="C41" s="12"/>
      <c r="D41" s="12"/>
    </row>
    <row r="42" spans="3:4" x14ac:dyDescent="0.25">
      <c r="C42" s="12"/>
      <c r="D42" s="12"/>
    </row>
  </sheetData>
  <sortState xmlns:xlrd2="http://schemas.microsoft.com/office/spreadsheetml/2017/richdata2" ref="B3:I18">
    <sortCondition ref="I3:I18"/>
  </sortState>
  <mergeCells count="35">
    <mergeCell ref="M1:N1"/>
    <mergeCell ref="I12:J12"/>
    <mergeCell ref="I13:J13"/>
    <mergeCell ref="I14:J14"/>
    <mergeCell ref="I7:J7"/>
    <mergeCell ref="I8:J8"/>
    <mergeCell ref="I9:J9"/>
    <mergeCell ref="I10:J10"/>
    <mergeCell ref="I11:J11"/>
    <mergeCell ref="I2:J2"/>
    <mergeCell ref="I3:J3"/>
    <mergeCell ref="I4:J4"/>
    <mergeCell ref="I5:J5"/>
    <mergeCell ref="I6:J6"/>
    <mergeCell ref="I15:J15"/>
    <mergeCell ref="I16:J16"/>
    <mergeCell ref="C39:D39"/>
    <mergeCell ref="C40:D40"/>
    <mergeCell ref="C41:D41"/>
    <mergeCell ref="I17:J17"/>
    <mergeCell ref="I18:J18"/>
    <mergeCell ref="C32:D32"/>
    <mergeCell ref="C42:D42"/>
    <mergeCell ref="C26:D26"/>
    <mergeCell ref="C33:D33"/>
    <mergeCell ref="C34:D34"/>
    <mergeCell ref="C35:D35"/>
    <mergeCell ref="C36:D36"/>
    <mergeCell ref="C37:D37"/>
    <mergeCell ref="C38:D38"/>
    <mergeCell ref="C27:D27"/>
    <mergeCell ref="C28:D28"/>
    <mergeCell ref="C29:D29"/>
    <mergeCell ref="C30:D30"/>
    <mergeCell ref="C31:D3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D63EF-74CD-493E-AB06-E039FE6E7C9A}">
  <dimension ref="A1:M43"/>
  <sheetViews>
    <sheetView tabSelected="1" workbookViewId="0">
      <selection activeCell="P9" sqref="P9"/>
    </sheetView>
  </sheetViews>
  <sheetFormatPr defaultColWidth="8.875" defaultRowHeight="15.75" x14ac:dyDescent="0.25"/>
  <cols>
    <col min="1" max="1" width="9" style="1"/>
    <col min="3" max="3" width="13.625" bestFit="1" customWidth="1"/>
    <col min="4" max="4" width="13.125" customWidth="1"/>
    <col min="5" max="5" width="10.375" customWidth="1"/>
  </cols>
  <sheetData>
    <row r="1" spans="1:13" x14ac:dyDescent="0.25">
      <c r="L1" s="11" t="s">
        <v>135</v>
      </c>
      <c r="M1" s="11"/>
    </row>
    <row r="2" spans="1:13" x14ac:dyDescent="0.25">
      <c r="A2" s="4"/>
      <c r="B2" s="3" t="s">
        <v>32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37</v>
      </c>
      <c r="H2" s="4" t="s">
        <v>38</v>
      </c>
      <c r="I2" s="4" t="s">
        <v>61</v>
      </c>
      <c r="J2" s="3" t="s">
        <v>133</v>
      </c>
      <c r="K2" s="3" t="s">
        <v>134</v>
      </c>
      <c r="L2" s="8" t="s">
        <v>136</v>
      </c>
      <c r="M2" s="8" t="s">
        <v>137</v>
      </c>
    </row>
    <row r="3" spans="1:13" s="6" customFormat="1" x14ac:dyDescent="0.25">
      <c r="A3" s="5">
        <v>4</v>
      </c>
      <c r="B3" s="2" t="s">
        <v>39</v>
      </c>
      <c r="C3" s="5">
        <v>1</v>
      </c>
      <c r="D3" s="5" t="s">
        <v>40</v>
      </c>
      <c r="E3" s="5" t="s">
        <v>41</v>
      </c>
      <c r="F3" s="5">
        <v>101</v>
      </c>
      <c r="G3" s="5" t="s">
        <v>42</v>
      </c>
      <c r="H3" s="5" t="s">
        <v>43</v>
      </c>
      <c r="I3" s="7">
        <v>2.4799999999999999E-2</v>
      </c>
      <c r="J3" s="2">
        <v>10</v>
      </c>
      <c r="K3" s="2">
        <v>2</v>
      </c>
      <c r="L3" s="2">
        <f>'Analyst 260421 BL'!C20</f>
        <v>23.9</v>
      </c>
      <c r="M3" s="9">
        <f>(L3*J3*K3)/(I3*1000)</f>
        <v>19.274193548387096</v>
      </c>
    </row>
    <row r="4" spans="1:13" x14ac:dyDescent="0.25">
      <c r="A4" s="5">
        <v>9</v>
      </c>
      <c r="B4" s="2" t="s">
        <v>44</v>
      </c>
      <c r="C4" s="5">
        <v>2</v>
      </c>
      <c r="D4" s="5" t="s">
        <v>40</v>
      </c>
      <c r="E4" s="5" t="s">
        <v>41</v>
      </c>
      <c r="F4" s="5">
        <v>101</v>
      </c>
      <c r="G4" s="5" t="s">
        <v>42</v>
      </c>
      <c r="H4" s="5" t="s">
        <v>45</v>
      </c>
      <c r="I4" s="7">
        <v>2.4500000000000001E-2</v>
      </c>
      <c r="J4" s="2">
        <v>10</v>
      </c>
      <c r="K4" s="2">
        <v>2</v>
      </c>
      <c r="L4" s="2">
        <f>'Analyst 260421 BL'!C27</f>
        <v>36.9</v>
      </c>
      <c r="M4" s="9">
        <f>(L4*J4*K4)/(I4*1000)</f>
        <v>30.122448979591837</v>
      </c>
    </row>
    <row r="5" spans="1:13" x14ac:dyDescent="0.25">
      <c r="A5" s="5">
        <v>16</v>
      </c>
      <c r="B5" s="2" t="s">
        <v>46</v>
      </c>
      <c r="C5" s="5">
        <v>3</v>
      </c>
      <c r="D5" s="5" t="s">
        <v>40</v>
      </c>
      <c r="E5" s="5" t="s">
        <v>41</v>
      </c>
      <c r="F5" s="5">
        <v>105</v>
      </c>
      <c r="G5" s="5" t="s">
        <v>47</v>
      </c>
      <c r="H5" s="5" t="s">
        <v>43</v>
      </c>
      <c r="I5" s="7">
        <v>2.47E-2</v>
      </c>
      <c r="J5" s="2">
        <v>10</v>
      </c>
      <c r="K5" s="2">
        <v>2</v>
      </c>
      <c r="L5" s="2">
        <f>'Analyst 260421 BL'!C36</f>
        <v>22.4</v>
      </c>
      <c r="M5" s="9">
        <f>(L5*J5*K5)/(I5*1000)</f>
        <v>18.137651821862349</v>
      </c>
    </row>
    <row r="6" spans="1:13" x14ac:dyDescent="0.25">
      <c r="A6" s="5">
        <v>12</v>
      </c>
      <c r="B6" s="2" t="s">
        <v>48</v>
      </c>
      <c r="C6" s="5">
        <v>4</v>
      </c>
      <c r="D6" s="5" t="s">
        <v>40</v>
      </c>
      <c r="E6" s="5" t="s">
        <v>41</v>
      </c>
      <c r="F6" s="5">
        <v>105</v>
      </c>
      <c r="G6" s="5" t="s">
        <v>47</v>
      </c>
      <c r="H6" s="5" t="s">
        <v>45</v>
      </c>
      <c r="I6" s="7">
        <v>2.4799999999999999E-2</v>
      </c>
      <c r="J6" s="2">
        <v>10</v>
      </c>
      <c r="K6" s="2">
        <v>2</v>
      </c>
      <c r="L6" s="2">
        <f>'Analyst 260421 BL'!C30</f>
        <v>83.9</v>
      </c>
      <c r="M6" s="9">
        <f>(L6*J6*K6)/(I6*1000)</f>
        <v>67.661290322580641</v>
      </c>
    </row>
    <row r="7" spans="1:13" x14ac:dyDescent="0.25">
      <c r="A7" s="5">
        <v>10</v>
      </c>
      <c r="B7" s="2" t="s">
        <v>49</v>
      </c>
      <c r="C7" s="5">
        <v>5</v>
      </c>
      <c r="D7" s="5" t="s">
        <v>40</v>
      </c>
      <c r="E7" s="5" t="s">
        <v>41</v>
      </c>
      <c r="F7" s="5">
        <v>202</v>
      </c>
      <c r="G7" s="5" t="s">
        <v>47</v>
      </c>
      <c r="H7" s="5" t="s">
        <v>43</v>
      </c>
      <c r="I7" s="7">
        <v>2.4500000000000001E-2</v>
      </c>
      <c r="J7" s="2">
        <v>10</v>
      </c>
      <c r="K7" s="2">
        <v>2</v>
      </c>
      <c r="L7" s="2">
        <f>'Analyst 260421 BL'!C28</f>
        <v>25.1</v>
      </c>
      <c r="M7" s="9">
        <f>(L7*J7*K7)/(I7*1000)</f>
        <v>20.489795918367346</v>
      </c>
    </row>
    <row r="8" spans="1:13" x14ac:dyDescent="0.25">
      <c r="A8" s="5">
        <v>1</v>
      </c>
      <c r="B8" s="2" t="s">
        <v>50</v>
      </c>
      <c r="C8" s="5">
        <v>6</v>
      </c>
      <c r="D8" s="5" t="s">
        <v>40</v>
      </c>
      <c r="E8" s="5" t="s">
        <v>41</v>
      </c>
      <c r="F8" s="5">
        <v>202</v>
      </c>
      <c r="G8" s="5" t="s">
        <v>47</v>
      </c>
      <c r="H8" s="5" t="s">
        <v>45</v>
      </c>
      <c r="I8" s="7">
        <v>2.5000000000000001E-2</v>
      </c>
      <c r="J8" s="2">
        <v>10</v>
      </c>
      <c r="K8" s="2">
        <v>2</v>
      </c>
      <c r="L8" s="2">
        <f>'Analyst 260421 BL'!C17</f>
        <v>32.4</v>
      </c>
      <c r="M8" s="9">
        <f>L8*J8*K8/(I8*1000)</f>
        <v>25.92</v>
      </c>
    </row>
    <row r="9" spans="1:13" x14ac:dyDescent="0.25">
      <c r="A9" s="5">
        <v>7</v>
      </c>
      <c r="B9" s="2" t="s">
        <v>51</v>
      </c>
      <c r="C9" s="5">
        <v>7</v>
      </c>
      <c r="D9" s="5" t="s">
        <v>40</v>
      </c>
      <c r="E9" s="5" t="s">
        <v>41</v>
      </c>
      <c r="F9" s="5">
        <v>209</v>
      </c>
      <c r="G9" s="5" t="s">
        <v>42</v>
      </c>
      <c r="H9" s="5" t="s">
        <v>43</v>
      </c>
      <c r="I9" s="7">
        <v>2.5499999999999998E-2</v>
      </c>
      <c r="J9" s="2">
        <v>10</v>
      </c>
      <c r="K9" s="2">
        <v>2</v>
      </c>
      <c r="L9" s="2">
        <f>'Analyst 260421 BL'!C25</f>
        <v>63.5</v>
      </c>
      <c r="M9" s="9">
        <f t="shared" ref="M9:M18" si="0">(L9*J9*K9)/(I9*1000)</f>
        <v>49.803921568627452</v>
      </c>
    </row>
    <row r="10" spans="1:13" x14ac:dyDescent="0.25">
      <c r="A10" s="5">
        <v>15</v>
      </c>
      <c r="B10" s="2" t="s">
        <v>52</v>
      </c>
      <c r="C10" s="5">
        <v>8</v>
      </c>
      <c r="D10" s="5" t="s">
        <v>40</v>
      </c>
      <c r="E10" s="5" t="s">
        <v>41</v>
      </c>
      <c r="F10" s="5">
        <v>209</v>
      </c>
      <c r="G10" s="5" t="s">
        <v>42</v>
      </c>
      <c r="H10" s="5" t="s">
        <v>45</v>
      </c>
      <c r="I10" s="7">
        <v>2.4799999999999999E-2</v>
      </c>
      <c r="J10" s="2">
        <v>10</v>
      </c>
      <c r="K10" s="2">
        <v>2</v>
      </c>
      <c r="L10" s="2">
        <f>'Analyst 260421 BL'!C35</f>
        <v>38.1</v>
      </c>
      <c r="M10" s="9">
        <f t="shared" si="0"/>
        <v>30.725806451612904</v>
      </c>
    </row>
    <row r="11" spans="1:13" x14ac:dyDescent="0.25">
      <c r="A11" s="5">
        <v>14</v>
      </c>
      <c r="B11" s="2" t="s">
        <v>53</v>
      </c>
      <c r="C11" s="5">
        <v>9</v>
      </c>
      <c r="D11" s="5" t="s">
        <v>40</v>
      </c>
      <c r="E11" s="5" t="s">
        <v>41</v>
      </c>
      <c r="F11" s="5">
        <v>307</v>
      </c>
      <c r="G11" s="5" t="s">
        <v>47</v>
      </c>
      <c r="H11" s="5" t="s">
        <v>43</v>
      </c>
      <c r="I11" s="7">
        <v>2.5899999999999999E-2</v>
      </c>
      <c r="J11" s="2">
        <v>10</v>
      </c>
      <c r="K11" s="2">
        <v>2</v>
      </c>
      <c r="L11" s="2">
        <f>'Analyst 260421 BL'!C34</f>
        <v>31.4</v>
      </c>
      <c r="M11" s="9">
        <f t="shared" si="0"/>
        <v>24.24710424710425</v>
      </c>
    </row>
    <row r="12" spans="1:13" x14ac:dyDescent="0.25">
      <c r="A12" s="5">
        <v>8</v>
      </c>
      <c r="B12" s="2" t="s">
        <v>54</v>
      </c>
      <c r="C12" s="5">
        <v>10</v>
      </c>
      <c r="D12" s="5" t="s">
        <v>40</v>
      </c>
      <c r="E12" s="5" t="s">
        <v>41</v>
      </c>
      <c r="F12" s="5">
        <v>307</v>
      </c>
      <c r="G12" s="5" t="s">
        <v>47</v>
      </c>
      <c r="H12" s="5" t="s">
        <v>45</v>
      </c>
      <c r="I12" s="7">
        <v>2.5499999999999998E-2</v>
      </c>
      <c r="J12" s="2">
        <v>10</v>
      </c>
      <c r="K12" s="2">
        <v>2</v>
      </c>
      <c r="L12" s="2">
        <f>'Analyst 260421 BL'!C26</f>
        <v>25.9</v>
      </c>
      <c r="M12" s="9">
        <f t="shared" si="0"/>
        <v>20.313725490196077</v>
      </c>
    </row>
    <row r="13" spans="1:13" x14ac:dyDescent="0.25">
      <c r="A13" s="5">
        <v>13</v>
      </c>
      <c r="B13" s="2" t="s">
        <v>55</v>
      </c>
      <c r="C13" s="5">
        <v>11</v>
      </c>
      <c r="D13" s="5" t="s">
        <v>40</v>
      </c>
      <c r="E13" s="5" t="s">
        <v>41</v>
      </c>
      <c r="F13" s="5">
        <v>311</v>
      </c>
      <c r="G13" s="5" t="s">
        <v>42</v>
      </c>
      <c r="H13" s="5" t="s">
        <v>43</v>
      </c>
      <c r="I13" s="7">
        <v>2.5399999999999999E-2</v>
      </c>
      <c r="J13" s="2">
        <v>10</v>
      </c>
      <c r="K13" s="2">
        <v>2</v>
      </c>
      <c r="L13" s="2">
        <f>'Analyst 260421 BL'!C33</f>
        <v>30.4</v>
      </c>
      <c r="M13" s="9">
        <f t="shared" si="0"/>
        <v>23.937007874015748</v>
      </c>
    </row>
    <row r="14" spans="1:13" x14ac:dyDescent="0.25">
      <c r="A14" s="5">
        <v>6</v>
      </c>
      <c r="B14" s="2" t="s">
        <v>56</v>
      </c>
      <c r="C14" s="5">
        <v>12</v>
      </c>
      <c r="D14" s="5" t="s">
        <v>40</v>
      </c>
      <c r="E14" s="5" t="s">
        <v>41</v>
      </c>
      <c r="F14" s="5">
        <v>311</v>
      </c>
      <c r="G14" s="5" t="s">
        <v>42</v>
      </c>
      <c r="H14" s="5" t="s">
        <v>45</v>
      </c>
      <c r="I14" s="7">
        <v>2.5700000000000001E-2</v>
      </c>
      <c r="J14" s="2">
        <v>10</v>
      </c>
      <c r="K14" s="2">
        <v>2</v>
      </c>
      <c r="L14" s="2">
        <f>'Analyst 260421 BL'!C22</f>
        <v>30.2</v>
      </c>
      <c r="M14" s="9">
        <f t="shared" si="0"/>
        <v>23.501945525291831</v>
      </c>
    </row>
    <row r="15" spans="1:13" x14ac:dyDescent="0.25">
      <c r="A15" s="5">
        <v>3</v>
      </c>
      <c r="B15" s="2" t="s">
        <v>57</v>
      </c>
      <c r="C15" s="5">
        <v>13</v>
      </c>
      <c r="D15" s="5" t="s">
        <v>40</v>
      </c>
      <c r="E15" s="5" t="s">
        <v>41</v>
      </c>
      <c r="F15" s="5">
        <v>405</v>
      </c>
      <c r="G15" s="5" t="s">
        <v>42</v>
      </c>
      <c r="H15" s="5" t="s">
        <v>43</v>
      </c>
      <c r="I15" s="7">
        <v>2.4899999999999999E-2</v>
      </c>
      <c r="J15" s="2">
        <v>10</v>
      </c>
      <c r="K15" s="2">
        <v>2</v>
      </c>
      <c r="L15" s="2">
        <f>'Analyst 260421 BL'!C19</f>
        <v>16.7</v>
      </c>
      <c r="M15" s="9">
        <f t="shared" si="0"/>
        <v>13.413654618473897</v>
      </c>
    </row>
    <row r="16" spans="1:13" x14ac:dyDescent="0.25">
      <c r="A16" s="5">
        <v>5</v>
      </c>
      <c r="B16" s="2" t="s">
        <v>58</v>
      </c>
      <c r="C16" s="5">
        <v>14</v>
      </c>
      <c r="D16" s="5" t="s">
        <v>40</v>
      </c>
      <c r="E16" s="5" t="s">
        <v>41</v>
      </c>
      <c r="F16" s="5">
        <v>405</v>
      </c>
      <c r="G16" s="5" t="s">
        <v>42</v>
      </c>
      <c r="H16" s="5" t="s">
        <v>45</v>
      </c>
      <c r="I16" s="7">
        <v>2.5000000000000001E-2</v>
      </c>
      <c r="J16" s="2">
        <v>10</v>
      </c>
      <c r="K16" s="2">
        <v>2</v>
      </c>
      <c r="L16" s="2">
        <f>'Analyst 260421 BL'!C21</f>
        <v>32.1</v>
      </c>
      <c r="M16" s="9">
        <f t="shared" si="0"/>
        <v>25.68</v>
      </c>
    </row>
    <row r="17" spans="1:13" x14ac:dyDescent="0.25">
      <c r="A17" s="5">
        <v>2</v>
      </c>
      <c r="B17" s="2" t="s">
        <v>59</v>
      </c>
      <c r="C17" s="5">
        <v>15</v>
      </c>
      <c r="D17" s="5" t="s">
        <v>40</v>
      </c>
      <c r="E17" s="5" t="s">
        <v>41</v>
      </c>
      <c r="F17" s="5">
        <v>412</v>
      </c>
      <c r="G17" s="5" t="s">
        <v>47</v>
      </c>
      <c r="H17" s="5" t="s">
        <v>43</v>
      </c>
      <c r="I17" s="7">
        <v>2.5000000000000001E-2</v>
      </c>
      <c r="J17" s="2">
        <v>10</v>
      </c>
      <c r="K17" s="2">
        <v>2</v>
      </c>
      <c r="L17" s="2">
        <f>'Analyst 260421 BL'!C18</f>
        <v>25.9</v>
      </c>
      <c r="M17" s="9">
        <f t="shared" si="0"/>
        <v>20.72</v>
      </c>
    </row>
    <row r="18" spans="1:13" x14ac:dyDescent="0.25">
      <c r="A18" s="5">
        <v>11</v>
      </c>
      <c r="B18" s="2" t="s">
        <v>60</v>
      </c>
      <c r="C18" s="5">
        <v>16</v>
      </c>
      <c r="D18" s="5" t="s">
        <v>40</v>
      </c>
      <c r="E18" s="5" t="s">
        <v>41</v>
      </c>
      <c r="F18" s="5">
        <v>412</v>
      </c>
      <c r="G18" s="5" t="s">
        <v>47</v>
      </c>
      <c r="H18" s="5" t="s">
        <v>45</v>
      </c>
      <c r="I18" s="7">
        <v>2.47E-2</v>
      </c>
      <c r="J18" s="2">
        <v>10</v>
      </c>
      <c r="K18" s="2">
        <v>2</v>
      </c>
      <c r="L18" s="2">
        <f>'Analyst 260421 BL'!C29</f>
        <v>25.6</v>
      </c>
      <c r="M18" s="9">
        <f t="shared" si="0"/>
        <v>20.728744939271255</v>
      </c>
    </row>
    <row r="27" spans="1:13" x14ac:dyDescent="0.25">
      <c r="A27" s="10"/>
      <c r="B27" s="6"/>
      <c r="C27" s="13"/>
      <c r="D27" s="13"/>
    </row>
    <row r="28" spans="1:13" x14ac:dyDescent="0.25">
      <c r="C28" s="12"/>
      <c r="D28" s="12"/>
    </row>
    <row r="29" spans="1:13" x14ac:dyDescent="0.25">
      <c r="C29" s="12"/>
      <c r="D29" s="12"/>
    </row>
    <row r="30" spans="1:13" x14ac:dyDescent="0.25">
      <c r="C30" s="12"/>
      <c r="D30" s="12"/>
    </row>
    <row r="31" spans="1:13" x14ac:dyDescent="0.25">
      <c r="C31" s="12"/>
      <c r="D31" s="12"/>
    </row>
    <row r="32" spans="1:13" x14ac:dyDescent="0.25">
      <c r="C32" s="12"/>
      <c r="D32" s="12"/>
    </row>
    <row r="33" spans="3:4" x14ac:dyDescent="0.25">
      <c r="C33" s="12"/>
      <c r="D33" s="12"/>
    </row>
    <row r="34" spans="3:4" x14ac:dyDescent="0.25">
      <c r="C34" s="12"/>
      <c r="D34" s="12"/>
    </row>
    <row r="35" spans="3:4" x14ac:dyDescent="0.25">
      <c r="C35" s="12"/>
      <c r="D35" s="12"/>
    </row>
    <row r="36" spans="3:4" x14ac:dyDescent="0.25">
      <c r="C36" s="12"/>
      <c r="D36" s="12"/>
    </row>
    <row r="37" spans="3:4" x14ac:dyDescent="0.25">
      <c r="C37" s="12"/>
      <c r="D37" s="12"/>
    </row>
    <row r="38" spans="3:4" x14ac:dyDescent="0.25">
      <c r="C38" s="12"/>
      <c r="D38" s="12"/>
    </row>
    <row r="39" spans="3:4" x14ac:dyDescent="0.25">
      <c r="C39" s="12"/>
      <c r="D39" s="12"/>
    </row>
    <row r="40" spans="3:4" x14ac:dyDescent="0.25">
      <c r="C40" s="12"/>
      <c r="D40" s="12"/>
    </row>
    <row r="41" spans="3:4" x14ac:dyDescent="0.25">
      <c r="C41" s="12"/>
      <c r="D41" s="12"/>
    </row>
    <row r="42" spans="3:4" x14ac:dyDescent="0.25">
      <c r="C42" s="12"/>
      <c r="D42" s="12"/>
    </row>
    <row r="43" spans="3:4" x14ac:dyDescent="0.25">
      <c r="C43" s="12"/>
      <c r="D43" s="12"/>
    </row>
  </sheetData>
  <sortState xmlns:xlrd2="http://schemas.microsoft.com/office/spreadsheetml/2017/richdata2" ref="A3:M19">
    <sortCondition ref="B3:B19"/>
  </sortState>
  <mergeCells count="18">
    <mergeCell ref="C39:D39"/>
    <mergeCell ref="C40:D40"/>
    <mergeCell ref="C41:D41"/>
    <mergeCell ref="C42:D42"/>
    <mergeCell ref="C43:D43"/>
    <mergeCell ref="L1:M1"/>
    <mergeCell ref="C38:D38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D390D-F208-4D7E-BC6E-57630A88A741}">
  <dimension ref="A1:E50"/>
  <sheetViews>
    <sheetView workbookViewId="0">
      <selection activeCell="I37" sqref="I37"/>
    </sheetView>
  </sheetViews>
  <sheetFormatPr defaultColWidth="8.875" defaultRowHeight="15.75" x14ac:dyDescent="0.25"/>
  <cols>
    <col min="5" max="5" width="13.375" bestFit="1" customWidth="1"/>
  </cols>
  <sheetData>
    <row r="1" spans="1:5" x14ac:dyDescent="0.25">
      <c r="A1" s="4"/>
      <c r="B1" s="3" t="s">
        <v>32</v>
      </c>
      <c r="C1" t="s">
        <v>63</v>
      </c>
      <c r="E1" t="s">
        <v>65</v>
      </c>
    </row>
    <row r="2" spans="1:5" x14ac:dyDescent="0.25">
      <c r="A2" s="5">
        <v>1</v>
      </c>
      <c r="B2" s="2" t="s">
        <v>50</v>
      </c>
      <c r="C2" t="s">
        <v>62</v>
      </c>
      <c r="D2" t="s">
        <v>64</v>
      </c>
      <c r="E2" t="str">
        <f>_xlfn.CONCAT(A2,D2,B2,D2,C2)</f>
        <v>1_26-0603_10X</v>
      </c>
    </row>
    <row r="3" spans="1:5" x14ac:dyDescent="0.25">
      <c r="A3" s="5">
        <v>2</v>
      </c>
      <c r="B3" s="2" t="s">
        <v>59</v>
      </c>
      <c r="C3" t="s">
        <v>62</v>
      </c>
      <c r="D3" t="s">
        <v>64</v>
      </c>
      <c r="E3" t="str">
        <f t="shared" ref="E3:E50" si="0">_xlfn.CONCAT(A3,D3,B3,D3,C3)</f>
        <v>2_26-0612_10X</v>
      </c>
    </row>
    <row r="4" spans="1:5" x14ac:dyDescent="0.25">
      <c r="A4" s="5">
        <v>3</v>
      </c>
      <c r="B4" s="2" t="s">
        <v>57</v>
      </c>
      <c r="C4" t="s">
        <v>62</v>
      </c>
      <c r="D4" t="s">
        <v>64</v>
      </c>
      <c r="E4" t="str">
        <f t="shared" si="0"/>
        <v>3_26-0610_10X</v>
      </c>
    </row>
    <row r="5" spans="1:5" x14ac:dyDescent="0.25">
      <c r="A5" s="5">
        <v>4</v>
      </c>
      <c r="B5" s="2" t="s">
        <v>39</v>
      </c>
      <c r="C5" t="s">
        <v>62</v>
      </c>
      <c r="D5" t="s">
        <v>64</v>
      </c>
      <c r="E5" t="str">
        <f t="shared" si="0"/>
        <v>4_26-0598_10X</v>
      </c>
    </row>
    <row r="6" spans="1:5" x14ac:dyDescent="0.25">
      <c r="A6" s="5">
        <v>5</v>
      </c>
      <c r="B6" s="2" t="s">
        <v>58</v>
      </c>
      <c r="C6" t="s">
        <v>62</v>
      </c>
      <c r="D6" t="s">
        <v>64</v>
      </c>
      <c r="E6" t="str">
        <f t="shared" si="0"/>
        <v>5_26-0611_10X</v>
      </c>
    </row>
    <row r="7" spans="1:5" x14ac:dyDescent="0.25">
      <c r="A7" s="5">
        <v>6</v>
      </c>
      <c r="B7" s="2" t="s">
        <v>56</v>
      </c>
      <c r="C7" t="s">
        <v>62</v>
      </c>
      <c r="D7" t="s">
        <v>64</v>
      </c>
      <c r="E7" t="str">
        <f t="shared" si="0"/>
        <v>6_26-0609_10X</v>
      </c>
    </row>
    <row r="8" spans="1:5" x14ac:dyDescent="0.25">
      <c r="A8" s="5">
        <v>7</v>
      </c>
      <c r="B8" s="2" t="s">
        <v>51</v>
      </c>
      <c r="C8" t="s">
        <v>62</v>
      </c>
      <c r="D8" t="s">
        <v>64</v>
      </c>
      <c r="E8" t="str">
        <f t="shared" si="0"/>
        <v>7_26-0604_10X</v>
      </c>
    </row>
    <row r="9" spans="1:5" x14ac:dyDescent="0.25">
      <c r="A9" s="5">
        <v>8</v>
      </c>
      <c r="B9" s="2" t="s">
        <v>54</v>
      </c>
      <c r="C9" t="s">
        <v>62</v>
      </c>
      <c r="D9" t="s">
        <v>64</v>
      </c>
      <c r="E9" t="str">
        <f t="shared" si="0"/>
        <v>8_26-0607_10X</v>
      </c>
    </row>
    <row r="10" spans="1:5" x14ac:dyDescent="0.25">
      <c r="A10" s="5">
        <v>9</v>
      </c>
      <c r="B10" s="2" t="s">
        <v>44</v>
      </c>
      <c r="C10" t="s">
        <v>62</v>
      </c>
      <c r="D10" t="s">
        <v>64</v>
      </c>
      <c r="E10" t="str">
        <f t="shared" si="0"/>
        <v>9_26-0599_10X</v>
      </c>
    </row>
    <row r="11" spans="1:5" x14ac:dyDescent="0.25">
      <c r="A11" s="5">
        <v>10</v>
      </c>
      <c r="B11" s="2" t="s">
        <v>49</v>
      </c>
      <c r="C11" t="s">
        <v>62</v>
      </c>
      <c r="D11" t="s">
        <v>64</v>
      </c>
      <c r="E11" t="str">
        <f t="shared" si="0"/>
        <v>10_26-0602_10X</v>
      </c>
    </row>
    <row r="12" spans="1:5" x14ac:dyDescent="0.25">
      <c r="A12" s="5">
        <v>11</v>
      </c>
      <c r="B12" s="2" t="s">
        <v>60</v>
      </c>
      <c r="C12" t="s">
        <v>62</v>
      </c>
      <c r="D12" t="s">
        <v>64</v>
      </c>
      <c r="E12" t="str">
        <f t="shared" si="0"/>
        <v>11_26-0613_10X</v>
      </c>
    </row>
    <row r="13" spans="1:5" x14ac:dyDescent="0.25">
      <c r="A13" s="5">
        <v>12</v>
      </c>
      <c r="B13" s="2" t="s">
        <v>48</v>
      </c>
      <c r="C13" t="s">
        <v>62</v>
      </c>
      <c r="D13" t="s">
        <v>64</v>
      </c>
      <c r="E13" t="str">
        <f t="shared" si="0"/>
        <v>12_26-0601_10X</v>
      </c>
    </row>
    <row r="14" spans="1:5" x14ac:dyDescent="0.25">
      <c r="A14" s="5">
        <v>13</v>
      </c>
      <c r="B14" s="2" t="s">
        <v>55</v>
      </c>
      <c r="C14" t="s">
        <v>62</v>
      </c>
      <c r="D14" t="s">
        <v>64</v>
      </c>
      <c r="E14" t="str">
        <f t="shared" si="0"/>
        <v>13_26-0608_10X</v>
      </c>
    </row>
    <row r="15" spans="1:5" x14ac:dyDescent="0.25">
      <c r="A15" s="5">
        <v>14</v>
      </c>
      <c r="B15" s="2" t="s">
        <v>53</v>
      </c>
      <c r="C15" t="s">
        <v>62</v>
      </c>
      <c r="D15" t="s">
        <v>64</v>
      </c>
      <c r="E15" t="str">
        <f t="shared" si="0"/>
        <v>14_26-0606_10X</v>
      </c>
    </row>
    <row r="16" spans="1:5" x14ac:dyDescent="0.25">
      <c r="A16" s="5">
        <v>15</v>
      </c>
      <c r="B16" s="2" t="s">
        <v>52</v>
      </c>
      <c r="C16" t="s">
        <v>62</v>
      </c>
      <c r="D16" t="s">
        <v>64</v>
      </c>
      <c r="E16" t="str">
        <f t="shared" si="0"/>
        <v>15_26-0605_10X</v>
      </c>
    </row>
    <row r="17" spans="1:5" x14ac:dyDescent="0.25">
      <c r="A17" s="5">
        <v>16</v>
      </c>
      <c r="B17" s="2" t="s">
        <v>46</v>
      </c>
      <c r="C17" t="s">
        <v>62</v>
      </c>
      <c r="D17" t="s">
        <v>64</v>
      </c>
      <c r="E17" t="str">
        <f t="shared" si="0"/>
        <v>16_26-0600_10X</v>
      </c>
    </row>
    <row r="18" spans="1:5" x14ac:dyDescent="0.25">
      <c r="A18" s="1"/>
      <c r="B18" s="3" t="s">
        <v>32</v>
      </c>
      <c r="C18" t="s">
        <v>62</v>
      </c>
      <c r="D18" t="s">
        <v>64</v>
      </c>
      <c r="E18" t="str">
        <f t="shared" si="0"/>
        <v>_Reg no._10X</v>
      </c>
    </row>
    <row r="19" spans="1:5" x14ac:dyDescent="0.25">
      <c r="A19" s="1">
        <v>17</v>
      </c>
      <c r="B19" s="2" t="s">
        <v>2</v>
      </c>
      <c r="C19" t="s">
        <v>62</v>
      </c>
      <c r="D19" t="s">
        <v>64</v>
      </c>
      <c r="E19" t="str">
        <f t="shared" si="0"/>
        <v>17_26-0616_10X</v>
      </c>
    </row>
    <row r="20" spans="1:5" x14ac:dyDescent="0.25">
      <c r="A20" s="1">
        <v>18</v>
      </c>
      <c r="B20" s="2" t="s">
        <v>31</v>
      </c>
      <c r="C20" t="s">
        <v>62</v>
      </c>
      <c r="D20" t="s">
        <v>64</v>
      </c>
      <c r="E20" t="str">
        <f t="shared" si="0"/>
        <v>18_26-0645_10X</v>
      </c>
    </row>
    <row r="21" spans="1:5" x14ac:dyDescent="0.25">
      <c r="A21" s="1">
        <v>19</v>
      </c>
      <c r="B21" s="2" t="s">
        <v>12</v>
      </c>
      <c r="C21" t="s">
        <v>62</v>
      </c>
      <c r="D21" t="s">
        <v>64</v>
      </c>
      <c r="E21" t="str">
        <f t="shared" si="0"/>
        <v>19_26-0626_10X</v>
      </c>
    </row>
    <row r="22" spans="1:5" x14ac:dyDescent="0.25">
      <c r="A22" s="1">
        <v>20</v>
      </c>
      <c r="B22" s="2" t="s">
        <v>3</v>
      </c>
      <c r="C22" t="s">
        <v>62</v>
      </c>
      <c r="D22" t="s">
        <v>64</v>
      </c>
      <c r="E22" t="str">
        <f t="shared" si="0"/>
        <v>20_26-0617_10X</v>
      </c>
    </row>
    <row r="23" spans="1:5" x14ac:dyDescent="0.25">
      <c r="A23" s="1">
        <v>21</v>
      </c>
      <c r="B23" s="2" t="s">
        <v>25</v>
      </c>
      <c r="C23" t="s">
        <v>62</v>
      </c>
      <c r="D23" t="s">
        <v>64</v>
      </c>
      <c r="E23" t="str">
        <f t="shared" si="0"/>
        <v>21_26-0639_10X</v>
      </c>
    </row>
    <row r="24" spans="1:5" x14ac:dyDescent="0.25">
      <c r="A24" s="1">
        <v>22</v>
      </c>
      <c r="B24" s="2" t="s">
        <v>22</v>
      </c>
      <c r="C24" t="s">
        <v>62</v>
      </c>
      <c r="D24" t="s">
        <v>64</v>
      </c>
      <c r="E24" t="str">
        <f t="shared" si="0"/>
        <v>22_26-0636_10X</v>
      </c>
    </row>
    <row r="25" spans="1:5" x14ac:dyDescent="0.25">
      <c r="A25" s="1">
        <v>23</v>
      </c>
      <c r="B25" s="2" t="s">
        <v>21</v>
      </c>
      <c r="C25" t="s">
        <v>62</v>
      </c>
      <c r="D25" t="s">
        <v>64</v>
      </c>
      <c r="E25" t="str">
        <f t="shared" si="0"/>
        <v>23_26-0635_10X</v>
      </c>
    </row>
    <row r="26" spans="1:5" x14ac:dyDescent="0.25">
      <c r="A26" s="1">
        <v>24</v>
      </c>
      <c r="B26" s="2" t="s">
        <v>4</v>
      </c>
      <c r="C26" t="s">
        <v>62</v>
      </c>
      <c r="D26" t="s">
        <v>64</v>
      </c>
      <c r="E26" t="str">
        <f t="shared" si="0"/>
        <v>24_26-0618_10X</v>
      </c>
    </row>
    <row r="27" spans="1:5" x14ac:dyDescent="0.25">
      <c r="A27" s="1">
        <v>25</v>
      </c>
      <c r="B27" s="2" t="s">
        <v>13</v>
      </c>
      <c r="C27" t="s">
        <v>62</v>
      </c>
      <c r="D27" t="s">
        <v>64</v>
      </c>
      <c r="E27" t="str">
        <f t="shared" si="0"/>
        <v>25_26-0627_10X</v>
      </c>
    </row>
    <row r="28" spans="1:5" x14ac:dyDescent="0.25">
      <c r="A28" s="1">
        <v>26</v>
      </c>
      <c r="B28" s="2" t="s">
        <v>24</v>
      </c>
      <c r="C28" t="s">
        <v>62</v>
      </c>
      <c r="D28" t="s">
        <v>64</v>
      </c>
      <c r="E28" t="str">
        <f t="shared" si="0"/>
        <v>26_26-0638_10X</v>
      </c>
    </row>
    <row r="29" spans="1:5" x14ac:dyDescent="0.25">
      <c r="A29" s="1">
        <v>27</v>
      </c>
      <c r="B29" s="2" t="s">
        <v>18</v>
      </c>
      <c r="C29" t="s">
        <v>62</v>
      </c>
      <c r="D29" t="s">
        <v>64</v>
      </c>
      <c r="E29" t="str">
        <f t="shared" si="0"/>
        <v>27_26-0632_10X</v>
      </c>
    </row>
    <row r="30" spans="1:5" x14ac:dyDescent="0.25">
      <c r="A30" s="1">
        <v>28</v>
      </c>
      <c r="B30" s="2" t="s">
        <v>7</v>
      </c>
      <c r="C30" t="s">
        <v>62</v>
      </c>
      <c r="D30" t="s">
        <v>64</v>
      </c>
      <c r="E30" t="str">
        <f t="shared" si="0"/>
        <v>28_26-0621_10X</v>
      </c>
    </row>
    <row r="31" spans="1:5" x14ac:dyDescent="0.25">
      <c r="A31" s="1">
        <v>29</v>
      </c>
      <c r="B31" s="2" t="s">
        <v>29</v>
      </c>
      <c r="C31" t="s">
        <v>62</v>
      </c>
      <c r="D31" t="s">
        <v>64</v>
      </c>
      <c r="E31" t="str">
        <f t="shared" si="0"/>
        <v>29_26-0643_10X</v>
      </c>
    </row>
    <row r="32" spans="1:5" x14ac:dyDescent="0.25">
      <c r="A32" s="1">
        <v>30</v>
      </c>
      <c r="B32" s="2" t="s">
        <v>9</v>
      </c>
      <c r="C32" t="s">
        <v>62</v>
      </c>
      <c r="D32" t="s">
        <v>64</v>
      </c>
      <c r="E32" t="str">
        <f t="shared" si="0"/>
        <v>30_26-0623_10X</v>
      </c>
    </row>
    <row r="33" spans="1:5" x14ac:dyDescent="0.25">
      <c r="A33" s="1">
        <v>31</v>
      </c>
      <c r="B33" s="2" t="s">
        <v>26</v>
      </c>
      <c r="C33" t="s">
        <v>62</v>
      </c>
      <c r="D33" t="s">
        <v>64</v>
      </c>
      <c r="E33" t="str">
        <f t="shared" si="0"/>
        <v>31_26-0640_10X</v>
      </c>
    </row>
    <row r="34" spans="1:5" x14ac:dyDescent="0.25">
      <c r="A34" s="1">
        <v>32</v>
      </c>
      <c r="B34" s="2" t="s">
        <v>30</v>
      </c>
      <c r="C34" t="s">
        <v>62</v>
      </c>
      <c r="D34" t="s">
        <v>64</v>
      </c>
      <c r="E34" t="str">
        <f t="shared" si="0"/>
        <v>32_26-0644_10X</v>
      </c>
    </row>
    <row r="35" spans="1:5" x14ac:dyDescent="0.25">
      <c r="A35" s="1">
        <v>33</v>
      </c>
      <c r="B35" s="2" t="s">
        <v>1</v>
      </c>
      <c r="C35" t="s">
        <v>62</v>
      </c>
      <c r="D35" t="s">
        <v>64</v>
      </c>
      <c r="E35" t="str">
        <f t="shared" si="0"/>
        <v>33_26-0615_10X</v>
      </c>
    </row>
    <row r="36" spans="1:5" x14ac:dyDescent="0.25">
      <c r="A36" s="1">
        <v>34</v>
      </c>
      <c r="B36" s="2" t="s">
        <v>15</v>
      </c>
      <c r="C36" t="s">
        <v>62</v>
      </c>
      <c r="D36" t="s">
        <v>64</v>
      </c>
      <c r="E36" t="str">
        <f t="shared" si="0"/>
        <v>34_26-0629_10X</v>
      </c>
    </row>
    <row r="37" spans="1:5" x14ac:dyDescent="0.25">
      <c r="A37" s="1">
        <v>35</v>
      </c>
      <c r="B37" s="2" t="s">
        <v>17</v>
      </c>
      <c r="C37" t="s">
        <v>62</v>
      </c>
      <c r="D37" t="s">
        <v>64</v>
      </c>
      <c r="E37" t="str">
        <f t="shared" si="0"/>
        <v>35_26-0631_10X</v>
      </c>
    </row>
    <row r="38" spans="1:5" x14ac:dyDescent="0.25">
      <c r="A38" s="1">
        <v>36</v>
      </c>
      <c r="B38" s="2" t="s">
        <v>5</v>
      </c>
      <c r="C38" t="s">
        <v>62</v>
      </c>
      <c r="D38" t="s">
        <v>64</v>
      </c>
      <c r="E38" t="str">
        <f t="shared" si="0"/>
        <v>36_26-0619_10X</v>
      </c>
    </row>
    <row r="39" spans="1:5" x14ac:dyDescent="0.25">
      <c r="A39" s="1">
        <v>37</v>
      </c>
      <c r="B39" s="2" t="s">
        <v>8</v>
      </c>
      <c r="C39" t="s">
        <v>62</v>
      </c>
      <c r="D39" t="s">
        <v>64</v>
      </c>
      <c r="E39" t="str">
        <f t="shared" si="0"/>
        <v>37_26-0622_10X</v>
      </c>
    </row>
    <row r="40" spans="1:5" x14ac:dyDescent="0.25">
      <c r="A40" s="1">
        <v>38</v>
      </c>
      <c r="B40" s="2" t="s">
        <v>6</v>
      </c>
      <c r="C40" t="s">
        <v>62</v>
      </c>
      <c r="D40" t="s">
        <v>64</v>
      </c>
      <c r="E40" t="str">
        <f t="shared" si="0"/>
        <v>38_26-0620_10X</v>
      </c>
    </row>
    <row r="41" spans="1:5" x14ac:dyDescent="0.25">
      <c r="A41" s="1">
        <v>39</v>
      </c>
      <c r="B41" s="2" t="s">
        <v>28</v>
      </c>
      <c r="C41" t="s">
        <v>62</v>
      </c>
      <c r="D41" t="s">
        <v>64</v>
      </c>
      <c r="E41" t="str">
        <f t="shared" si="0"/>
        <v>39_26-0642_10X</v>
      </c>
    </row>
    <row r="42" spans="1:5" x14ac:dyDescent="0.25">
      <c r="A42" s="1">
        <v>40</v>
      </c>
      <c r="B42" s="2" t="s">
        <v>27</v>
      </c>
      <c r="C42" t="s">
        <v>62</v>
      </c>
      <c r="D42" t="s">
        <v>64</v>
      </c>
      <c r="E42" t="str">
        <f t="shared" si="0"/>
        <v>40_26-0641_10X</v>
      </c>
    </row>
    <row r="43" spans="1:5" x14ac:dyDescent="0.25">
      <c r="A43" s="1">
        <v>41</v>
      </c>
      <c r="B43" s="2" t="s">
        <v>10</v>
      </c>
      <c r="C43" t="s">
        <v>62</v>
      </c>
      <c r="D43" t="s">
        <v>64</v>
      </c>
      <c r="E43" t="str">
        <f t="shared" si="0"/>
        <v>41_26-0624_10X</v>
      </c>
    </row>
    <row r="44" spans="1:5" x14ac:dyDescent="0.25">
      <c r="A44" s="1">
        <v>42</v>
      </c>
      <c r="B44" s="2" t="s">
        <v>23</v>
      </c>
      <c r="C44" t="s">
        <v>62</v>
      </c>
      <c r="D44" t="s">
        <v>64</v>
      </c>
      <c r="E44" t="str">
        <f t="shared" si="0"/>
        <v>42_26-0637_10X</v>
      </c>
    </row>
    <row r="45" spans="1:5" x14ac:dyDescent="0.25">
      <c r="A45" s="1">
        <v>43</v>
      </c>
      <c r="B45" s="2" t="s">
        <v>0</v>
      </c>
      <c r="C45" t="s">
        <v>62</v>
      </c>
      <c r="D45" t="s">
        <v>64</v>
      </c>
      <c r="E45" t="str">
        <f t="shared" si="0"/>
        <v>43_26-0614_10X</v>
      </c>
    </row>
    <row r="46" spans="1:5" x14ac:dyDescent="0.25">
      <c r="A46" s="1">
        <v>44</v>
      </c>
      <c r="B46" s="2" t="s">
        <v>11</v>
      </c>
      <c r="C46" t="s">
        <v>62</v>
      </c>
      <c r="D46" t="s">
        <v>64</v>
      </c>
      <c r="E46" t="str">
        <f t="shared" si="0"/>
        <v>44_26-0625_10X</v>
      </c>
    </row>
    <row r="47" spans="1:5" x14ac:dyDescent="0.25">
      <c r="A47" s="1">
        <v>45</v>
      </c>
      <c r="B47" s="2" t="s">
        <v>16</v>
      </c>
      <c r="C47" t="s">
        <v>62</v>
      </c>
      <c r="D47" t="s">
        <v>64</v>
      </c>
      <c r="E47" t="str">
        <f t="shared" si="0"/>
        <v>45_26-0630_10X</v>
      </c>
    </row>
    <row r="48" spans="1:5" x14ac:dyDescent="0.25">
      <c r="A48" s="1">
        <v>46</v>
      </c>
      <c r="B48" s="2" t="s">
        <v>20</v>
      </c>
      <c r="C48" t="s">
        <v>62</v>
      </c>
      <c r="D48" t="s">
        <v>64</v>
      </c>
      <c r="E48" t="str">
        <f t="shared" si="0"/>
        <v>46_26-0634_10X</v>
      </c>
    </row>
    <row r="49" spans="1:5" x14ac:dyDescent="0.25">
      <c r="A49" s="1">
        <v>47</v>
      </c>
      <c r="B49" s="2" t="s">
        <v>14</v>
      </c>
      <c r="C49" t="s">
        <v>62</v>
      </c>
      <c r="D49" t="s">
        <v>64</v>
      </c>
      <c r="E49" t="str">
        <f t="shared" si="0"/>
        <v>47_26-0628_10X</v>
      </c>
    </row>
    <row r="50" spans="1:5" x14ac:dyDescent="0.25">
      <c r="A50" s="1">
        <v>48</v>
      </c>
      <c r="B50" s="2" t="s">
        <v>19</v>
      </c>
      <c r="C50" t="s">
        <v>62</v>
      </c>
      <c r="D50" t="s">
        <v>64</v>
      </c>
      <c r="E50" t="str">
        <f t="shared" si="0"/>
        <v>48_26-0633_10X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Analyst 260421 BL</vt:lpstr>
      <vt:lpstr>gina</vt:lpstr>
      <vt:lpstr>gina  final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Fuchs</dc:creator>
  <cp:lastModifiedBy>Virginia Anne Nichols</cp:lastModifiedBy>
  <cp:lastPrinted>2026-04-22T07:12:19Z</cp:lastPrinted>
  <dcterms:created xsi:type="dcterms:W3CDTF">2026-03-11T13:19:33Z</dcterms:created>
  <dcterms:modified xsi:type="dcterms:W3CDTF">2026-04-22T13:39:13Z</dcterms:modified>
</cp:coreProperties>
</file>